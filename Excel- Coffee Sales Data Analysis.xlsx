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Khushi\Projects\"/>
    </mc:Choice>
  </mc:AlternateContent>
  <xr:revisionPtr revIDLastSave="0" documentId="13_ncr:1_{D242200E-4A27-4E3E-A81E-AB8FEF219749}" xr6:coauthVersionLast="47" xr6:coauthVersionMax="47" xr10:uidLastSave="{00000000-0000-0000-0000-000000000000}"/>
  <bookViews>
    <workbookView xWindow="-108" yWindow="-108" windowWidth="23256" windowHeight="12456" activeTab="3" xr2:uid="{00000000-000D-0000-FFFF-FFFF00000000}"/>
  </bookViews>
  <sheets>
    <sheet name="Total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77" i="17"/>
  <c r="O89" i="17"/>
  <c r="O121" i="17"/>
  <c r="O125" i="17"/>
  <c r="O136" i="17"/>
  <c r="O145" i="17"/>
  <c r="O152" i="17"/>
  <c r="O199" i="17"/>
  <c r="O235" i="17"/>
  <c r="O248" i="17"/>
  <c r="O249" i="17"/>
  <c r="O279" i="17"/>
  <c r="O282" i="17"/>
  <c r="O356" i="17"/>
  <c r="O359" i="17"/>
  <c r="O360" i="17"/>
  <c r="O361" i="17"/>
  <c r="O392" i="17"/>
  <c r="O398" i="17"/>
  <c r="O437" i="17"/>
  <c r="O481" i="17"/>
  <c r="O484" i="17"/>
  <c r="O501" i="17"/>
  <c r="O507" i="17"/>
  <c r="O510" i="17"/>
  <c r="O583" i="17"/>
  <c r="O601" i="17"/>
  <c r="O625" i="17"/>
  <c r="O629" i="17"/>
  <c r="O637" i="17"/>
  <c r="O639" i="17"/>
  <c r="O711" i="17"/>
  <c r="O713" i="17"/>
  <c r="O719" i="17"/>
  <c r="O743" i="17"/>
  <c r="O744" i="17"/>
  <c r="O756" i="17"/>
  <c r="O783" i="17"/>
  <c r="O823" i="17"/>
  <c r="O824" i="17"/>
  <c r="O825" i="17"/>
  <c r="O833" i="17"/>
  <c r="O843" i="17"/>
  <c r="O845" i="17"/>
  <c r="O888" i="17"/>
  <c r="O911" i="17"/>
  <c r="O920" i="17"/>
  <c r="O933" i="17"/>
  <c r="O976" i="17"/>
  <c r="O980" i="17"/>
  <c r="O981" i="17"/>
  <c r="O994" i="17"/>
  <c r="N5" i="17"/>
  <c r="N40" i="17"/>
  <c r="N49" i="17"/>
  <c r="N63" i="17"/>
  <c r="N69" i="17"/>
  <c r="N70" i="17"/>
  <c r="N71" i="17"/>
  <c r="N72" i="17"/>
  <c r="N100" i="17"/>
  <c r="N115" i="17"/>
  <c r="N121" i="17"/>
  <c r="N127" i="17"/>
  <c r="N134" i="17"/>
  <c r="N136" i="17"/>
  <c r="N150" i="17"/>
  <c r="N192" i="17"/>
  <c r="N195" i="17"/>
  <c r="N199" i="17"/>
  <c r="N210" i="17"/>
  <c r="N211" i="17"/>
  <c r="N244" i="17"/>
  <c r="N247" i="17"/>
  <c r="N249" i="17"/>
  <c r="N268" i="17"/>
  <c r="N269" i="17"/>
  <c r="N273" i="17"/>
  <c r="N278" i="17"/>
  <c r="N282" i="17"/>
  <c r="N307" i="17"/>
  <c r="N329" i="17"/>
  <c r="N332" i="17"/>
  <c r="N333" i="17"/>
  <c r="N334" i="17"/>
  <c r="N336" i="17"/>
  <c r="N371" i="17"/>
  <c r="N384" i="17"/>
  <c r="N388" i="17"/>
  <c r="N399" i="17"/>
  <c r="N400" i="17"/>
  <c r="N406" i="17"/>
  <c r="N420" i="17"/>
  <c r="N444" i="17"/>
  <c r="N445" i="17"/>
  <c r="N452" i="17"/>
  <c r="N454" i="17"/>
  <c r="N455" i="17"/>
  <c r="N479" i="17"/>
  <c r="N495" i="17"/>
  <c r="N497" i="17"/>
  <c r="N509" i="17"/>
  <c r="N510" i="17"/>
  <c r="N524" i="17"/>
  <c r="N525" i="17"/>
  <c r="N561" i="17"/>
  <c r="N563" i="17"/>
  <c r="N564" i="17"/>
  <c r="N570" i="17"/>
  <c r="N578" i="17"/>
  <c r="N579" i="17"/>
  <c r="N615" i="17"/>
  <c r="N616" i="17"/>
  <c r="N619" i="17"/>
  <c r="N634" i="17"/>
  <c r="N635" i="17"/>
  <c r="N640" i="17"/>
  <c r="N656" i="17"/>
  <c r="N668" i="17"/>
  <c r="N676" i="17"/>
  <c r="N685" i="17"/>
  <c r="N687" i="17"/>
  <c r="N688" i="17"/>
  <c r="N689" i="17"/>
  <c r="N720" i="17"/>
  <c r="N724" i="17"/>
  <c r="N729" i="17"/>
  <c r="N736" i="17"/>
  <c r="N737" i="17"/>
  <c r="N742" i="17"/>
  <c r="N745" i="17"/>
  <c r="N771" i="17"/>
  <c r="N780" i="17"/>
  <c r="N791" i="17"/>
  <c r="N792" i="17"/>
  <c r="N793" i="17"/>
  <c r="N794" i="17"/>
  <c r="N828" i="17"/>
  <c r="N829" i="17"/>
  <c r="N832" i="17"/>
  <c r="N836" i="17"/>
  <c r="N838" i="17"/>
  <c r="N842" i="17"/>
  <c r="N859" i="17"/>
  <c r="N864" i="17"/>
  <c r="N875" i="17"/>
  <c r="N883" i="17"/>
  <c r="N884" i="17"/>
  <c r="N887" i="17"/>
  <c r="N904" i="17"/>
  <c r="N912" i="17"/>
  <c r="N919" i="17"/>
  <c r="N922" i="17"/>
  <c r="N923" i="17"/>
  <c r="N925" i="17"/>
  <c r="N944" i="17"/>
  <c r="N947" i="17"/>
  <c r="N952" i="17"/>
  <c r="N959" i="17"/>
  <c r="N960" i="17"/>
  <c r="N964" i="17"/>
  <c r="N968" i="17"/>
  <c r="N969" i="17"/>
  <c r="N976" i="17"/>
  <c r="N993" i="17"/>
  <c r="N995" i="17"/>
  <c r="N996" i="17"/>
  <c r="M3" i="17"/>
  <c r="M19" i="17"/>
  <c r="M23" i="17"/>
  <c r="M27" i="17"/>
  <c r="M31" i="17"/>
  <c r="M32" i="17"/>
  <c r="M33" i="17"/>
  <c r="M36" i="17"/>
  <c r="M55" i="17"/>
  <c r="M64" i="17"/>
  <c r="M72" i="17"/>
  <c r="M73" i="17"/>
  <c r="M75" i="17"/>
  <c r="M76" i="17"/>
  <c r="M79" i="17"/>
  <c r="M91" i="17"/>
  <c r="M99" i="17"/>
  <c r="M107" i="17"/>
  <c r="M111" i="17"/>
  <c r="M112" i="17"/>
  <c r="M113" i="17"/>
  <c r="M131" i="17"/>
  <c r="M139" i="17"/>
  <c r="M140" i="17"/>
  <c r="M145" i="17"/>
  <c r="M151" i="17"/>
  <c r="M168" i="17"/>
  <c r="M172" i="17"/>
  <c r="M180" i="17"/>
  <c r="M183" i="17"/>
  <c r="M184" i="17"/>
  <c r="M195" i="17"/>
  <c r="M203" i="17"/>
  <c r="M211" i="17"/>
  <c r="M212" i="17"/>
  <c r="M213" i="17"/>
  <c r="M215" i="17"/>
  <c r="M216" i="17"/>
  <c r="M236" i="17"/>
  <c r="M243" i="17"/>
  <c r="M244" i="17"/>
  <c r="M247" i="17"/>
  <c r="M248" i="17"/>
  <c r="M249" i="17"/>
  <c r="M267" i="17"/>
  <c r="M271" i="17"/>
  <c r="M275" i="17"/>
  <c r="M287" i="17"/>
  <c r="M288" i="17"/>
  <c r="M289" i="17"/>
  <c r="M312" i="17"/>
  <c r="M315" i="17"/>
  <c r="M316" i="17"/>
  <c r="M320" i="17"/>
  <c r="M339" i="17"/>
  <c r="M344" i="17"/>
  <c r="M347" i="17"/>
  <c r="M348" i="17"/>
  <c r="M353" i="17"/>
  <c r="M371" i="17"/>
  <c r="M379" i="17"/>
  <c r="M380" i="17"/>
  <c r="M384" i="17"/>
  <c r="M385" i="17"/>
  <c r="M404" i="17"/>
  <c r="M407" i="17"/>
  <c r="M408" i="17"/>
  <c r="M411" i="17"/>
  <c r="M412" i="17"/>
  <c r="M415" i="17"/>
  <c r="M439" i="17"/>
  <c r="M440" i="17"/>
  <c r="M441" i="17"/>
  <c r="M448" i="17"/>
  <c r="M463" i="17"/>
  <c r="M472" i="17"/>
  <c r="M475" i="17"/>
  <c r="M476" i="17"/>
  <c r="M491" i="17"/>
  <c r="M499" i="17"/>
  <c r="M500" i="17"/>
  <c r="M501" i="17"/>
  <c r="M503" i="17"/>
  <c r="M504" i="17"/>
  <c r="M519" i="17"/>
  <c r="M524" i="17"/>
  <c r="M527" i="17"/>
  <c r="M528" i="17"/>
  <c r="M531" i="17"/>
  <c r="M537" i="17"/>
  <c r="M559" i="17"/>
  <c r="M560" i="17"/>
  <c r="M565" i="17"/>
  <c r="M575" i="17"/>
  <c r="M583" i="17"/>
  <c r="M587" i="17"/>
  <c r="M588" i="17"/>
  <c r="M593" i="17"/>
  <c r="M607" i="17"/>
  <c r="M612" i="17"/>
  <c r="M616" i="17"/>
  <c r="M619" i="17"/>
  <c r="M620" i="17"/>
  <c r="M625" i="17"/>
  <c r="M636" i="17"/>
  <c r="M640" i="17"/>
  <c r="M647" i="17"/>
  <c r="M655" i="17"/>
  <c r="M656" i="17"/>
  <c r="M676" i="17"/>
  <c r="M679" i="17"/>
  <c r="M680" i="17"/>
  <c r="M681" i="17"/>
  <c r="M695" i="17"/>
  <c r="M703" i="17"/>
  <c r="M704" i="17"/>
  <c r="M705" i="17"/>
  <c r="M707" i="17"/>
  <c r="M712" i="17"/>
  <c r="M728" i="17"/>
  <c r="M732" i="17"/>
  <c r="M736" i="17"/>
  <c r="M739" i="17"/>
  <c r="M740" i="17"/>
  <c r="M747" i="17"/>
  <c r="M756" i="17"/>
  <c r="M759" i="17"/>
  <c r="M760" i="17"/>
  <c r="M761" i="17"/>
  <c r="M763" i="17"/>
  <c r="M764" i="17"/>
  <c r="M784" i="17"/>
  <c r="M788" i="17"/>
  <c r="M789" i="17"/>
  <c r="M791" i="17"/>
  <c r="M795" i="17"/>
  <c r="M811" i="17"/>
  <c r="M816" i="17"/>
  <c r="M817" i="17"/>
  <c r="M821" i="17"/>
  <c r="M823" i="17"/>
  <c r="M831" i="17"/>
  <c r="M839" i="17"/>
  <c r="M843" i="17"/>
  <c r="M847" i="17"/>
  <c r="M848" i="17"/>
  <c r="M849" i="17"/>
  <c r="M867" i="17"/>
  <c r="M868" i="17"/>
  <c r="M871" i="17"/>
  <c r="M872" i="17"/>
  <c r="M873" i="17"/>
  <c r="M877" i="17"/>
  <c r="M887" i="17"/>
  <c r="M892" i="17"/>
  <c r="M896" i="17"/>
  <c r="M897" i="17"/>
  <c r="M900" i="17"/>
  <c r="M903" i="17"/>
  <c r="M904" i="17"/>
  <c r="M916" i="17"/>
  <c r="M923" i="17"/>
  <c r="M924" i="17"/>
  <c r="M925" i="17"/>
  <c r="M927" i="17"/>
  <c r="M940" i="17"/>
  <c r="M943" i="17"/>
  <c r="M947" i="17"/>
  <c r="M948" i="17"/>
  <c r="M951" i="17"/>
  <c r="M956" i="17"/>
  <c r="M963" i="17"/>
  <c r="M968" i="17"/>
  <c r="M975" i="17"/>
  <c r="M976" i="17"/>
  <c r="M979" i="17"/>
  <c r="M980" i="17"/>
  <c r="M987" i="17"/>
  <c r="M996" i="17"/>
  <c r="M999" i="17"/>
  <c r="M1000" i="17"/>
  <c r="M1001" i="17"/>
  <c r="M2" i="17"/>
  <c r="I3" i="17"/>
  <c r="N3" i="17" s="1"/>
  <c r="J3" i="17"/>
  <c r="O3" i="17" s="1"/>
  <c r="K3" i="17"/>
  <c r="L3" i="17"/>
  <c r="I4" i="17"/>
  <c r="N4" i="17" s="1"/>
  <c r="J4" i="17"/>
  <c r="O4" i="17" s="1"/>
  <c r="K4" i="17"/>
  <c r="L4" i="17"/>
  <c r="M4" i="17" s="1"/>
  <c r="I5" i="17"/>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I32" i="17"/>
  <c r="N32" i="17" s="1"/>
  <c r="J32" i="17"/>
  <c r="O32" i="17" s="1"/>
  <c r="K32" i="17"/>
  <c r="L32" i="17"/>
  <c r="I33" i="17"/>
  <c r="N33" i="17" s="1"/>
  <c r="J33" i="17"/>
  <c r="O33" i="17" s="1"/>
  <c r="K33" i="17"/>
  <c r="L33" i="17"/>
  <c r="I34" i="17"/>
  <c r="N34" i="17" s="1"/>
  <c r="J34" i="17"/>
  <c r="O34" i="17" s="1"/>
  <c r="K34" i="17"/>
  <c r="L34" i="17"/>
  <c r="M34" i="17" s="1"/>
  <c r="I35" i="17"/>
  <c r="N35" i="17" s="1"/>
  <c r="J35" i="17"/>
  <c r="O35" i="17" s="1"/>
  <c r="K35" i="17"/>
  <c r="L35" i="17"/>
  <c r="M35" i="17" s="1"/>
  <c r="I36" i="17"/>
  <c r="N36" i="17" s="1"/>
  <c r="J36" i="17"/>
  <c r="O36" i="17" s="1"/>
  <c r="K36" i="17"/>
  <c r="L36" i="17"/>
  <c r="I37" i="17"/>
  <c r="N37" i="17" s="1"/>
  <c r="J37" i="17"/>
  <c r="O37" i="17" s="1"/>
  <c r="K37" i="17"/>
  <c r="L37" i="17"/>
  <c r="M37" i="17" s="1"/>
  <c r="I38" i="17"/>
  <c r="N38" i="17" s="1"/>
  <c r="J38" i="17"/>
  <c r="O38" i="17" s="1"/>
  <c r="K38" i="17"/>
  <c r="L38" i="17"/>
  <c r="M38" i="17" s="1"/>
  <c r="I39" i="17"/>
  <c r="N39" i="17" s="1"/>
  <c r="J39" i="17"/>
  <c r="O39" i="17" s="1"/>
  <c r="K39" i="17"/>
  <c r="L39" i="17"/>
  <c r="M39" i="17" s="1"/>
  <c r="I40" i="17"/>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J63" i="17"/>
  <c r="O63" i="17" s="1"/>
  <c r="K63" i="17"/>
  <c r="L63" i="17"/>
  <c r="M63" i="17" s="1"/>
  <c r="I64" i="17"/>
  <c r="N64" i="17" s="1"/>
  <c r="J64" i="17"/>
  <c r="O64" i="17" s="1"/>
  <c r="K64" i="17"/>
  <c r="L64" i="17"/>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J69" i="17"/>
  <c r="O69" i="17" s="1"/>
  <c r="K69" i="17"/>
  <c r="L69" i="17"/>
  <c r="M69" i="17" s="1"/>
  <c r="I70" i="17"/>
  <c r="J70" i="17"/>
  <c r="O70" i="17" s="1"/>
  <c r="K70" i="17"/>
  <c r="L70" i="17"/>
  <c r="M70" i="17" s="1"/>
  <c r="I71" i="17"/>
  <c r="J71" i="17"/>
  <c r="O71" i="17" s="1"/>
  <c r="K71" i="17"/>
  <c r="L71" i="17"/>
  <c r="M71" i="17" s="1"/>
  <c r="I72" i="17"/>
  <c r="J72" i="17"/>
  <c r="O72" i="17" s="1"/>
  <c r="K72" i="17"/>
  <c r="L72" i="17"/>
  <c r="I73" i="17"/>
  <c r="N73" i="17" s="1"/>
  <c r="J73" i="17"/>
  <c r="O73" i="17" s="1"/>
  <c r="K73" i="17"/>
  <c r="L73" i="17"/>
  <c r="I74" i="17"/>
  <c r="N74" i="17" s="1"/>
  <c r="J74" i="17"/>
  <c r="O74" i="17" s="1"/>
  <c r="K74" i="17"/>
  <c r="L74" i="17"/>
  <c r="M74" i="17" s="1"/>
  <c r="I75" i="17"/>
  <c r="N75" i="17" s="1"/>
  <c r="J75" i="17"/>
  <c r="O75" i="17" s="1"/>
  <c r="K75" i="17"/>
  <c r="L75" i="17"/>
  <c r="I76" i="17"/>
  <c r="N76" i="17" s="1"/>
  <c r="J76" i="17"/>
  <c r="O76" i="17" s="1"/>
  <c r="K76" i="17"/>
  <c r="L76" i="17"/>
  <c r="I77" i="17"/>
  <c r="N77" i="17" s="1"/>
  <c r="J77" i="17"/>
  <c r="K77" i="17"/>
  <c r="L77" i="17"/>
  <c r="M77" i="17" s="1"/>
  <c r="I78" i="17"/>
  <c r="N78" i="17" s="1"/>
  <c r="J78" i="17"/>
  <c r="O78" i="17" s="1"/>
  <c r="K78" i="17"/>
  <c r="L78" i="17"/>
  <c r="M78" i="17" s="1"/>
  <c r="I79" i="17"/>
  <c r="N79" i="17" s="1"/>
  <c r="J79" i="17"/>
  <c r="O79" i="17" s="1"/>
  <c r="K79" i="17"/>
  <c r="L79" i="17"/>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K89" i="17"/>
  <c r="L89" i="17"/>
  <c r="M89" i="17" s="1"/>
  <c r="I90" i="17"/>
  <c r="N90" i="17" s="1"/>
  <c r="J90" i="17"/>
  <c r="O90" i="17" s="1"/>
  <c r="K90" i="17"/>
  <c r="L90" i="17"/>
  <c r="M90" i="17" s="1"/>
  <c r="I91" i="17"/>
  <c r="N91" i="17" s="1"/>
  <c r="J91" i="17"/>
  <c r="O91" i="17" s="1"/>
  <c r="K91" i="17"/>
  <c r="L91" i="17"/>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I100" i="17"/>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I112" i="17"/>
  <c r="N112" i="17" s="1"/>
  <c r="J112" i="17"/>
  <c r="O112" i="17" s="1"/>
  <c r="K112" i="17"/>
  <c r="L112" i="17"/>
  <c r="I113" i="17"/>
  <c r="N113" i="17" s="1"/>
  <c r="J113" i="17"/>
  <c r="O113" i="17" s="1"/>
  <c r="K113" i="17"/>
  <c r="L113" i="17"/>
  <c r="I114" i="17"/>
  <c r="N114" i="17" s="1"/>
  <c r="J114" i="17"/>
  <c r="O114" i="17" s="1"/>
  <c r="K114" i="17"/>
  <c r="L114" i="17"/>
  <c r="M114" i="17" s="1"/>
  <c r="I115" i="17"/>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J121" i="17"/>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K125" i="17"/>
  <c r="L125" i="17"/>
  <c r="M125" i="17" s="1"/>
  <c r="I126" i="17"/>
  <c r="N126" i="17" s="1"/>
  <c r="J126" i="17"/>
  <c r="O126" i="17" s="1"/>
  <c r="K126" i="17"/>
  <c r="L126" i="17"/>
  <c r="M126" i="17" s="1"/>
  <c r="I127" i="17"/>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I132" i="17"/>
  <c r="N132" i="17" s="1"/>
  <c r="J132" i="17"/>
  <c r="O132" i="17" s="1"/>
  <c r="K132" i="17"/>
  <c r="L132" i="17"/>
  <c r="M132" i="17" s="1"/>
  <c r="I133" i="17"/>
  <c r="N133" i="17" s="1"/>
  <c r="J133" i="17"/>
  <c r="O133" i="17" s="1"/>
  <c r="K133" i="17"/>
  <c r="L133" i="17"/>
  <c r="M133" i="17" s="1"/>
  <c r="I134" i="17"/>
  <c r="J134" i="17"/>
  <c r="O134" i="17" s="1"/>
  <c r="K134" i="17"/>
  <c r="L134" i="17"/>
  <c r="M134" i="17" s="1"/>
  <c r="I135" i="17"/>
  <c r="N135" i="17" s="1"/>
  <c r="J135" i="17"/>
  <c r="O135" i="17" s="1"/>
  <c r="K135" i="17"/>
  <c r="L135" i="17"/>
  <c r="M135" i="17" s="1"/>
  <c r="I136" i="17"/>
  <c r="J136" i="17"/>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I140" i="17"/>
  <c r="N140" i="17" s="1"/>
  <c r="J140" i="17"/>
  <c r="O140" i="17" s="1"/>
  <c r="K140" i="17"/>
  <c r="L140" i="17"/>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K145" i="17"/>
  <c r="L145" i="17"/>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J150" i="17"/>
  <c r="O150" i="17" s="1"/>
  <c r="K150" i="17"/>
  <c r="L150" i="17"/>
  <c r="M150" i="17" s="1"/>
  <c r="I151" i="17"/>
  <c r="N151" i="17" s="1"/>
  <c r="J151" i="17"/>
  <c r="O151" i="17" s="1"/>
  <c r="K151" i="17"/>
  <c r="L151" i="17"/>
  <c r="I152" i="17"/>
  <c r="N152" i="17" s="1"/>
  <c r="J152" i="17"/>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I184" i="17"/>
  <c r="N184" i="17" s="1"/>
  <c r="J184" i="17"/>
  <c r="O184" i="17" s="1"/>
  <c r="K184" i="17"/>
  <c r="L184" i="17"/>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J192" i="17"/>
  <c r="O192" i="17" s="1"/>
  <c r="K192" i="17"/>
  <c r="L192" i="17"/>
  <c r="M192" i="17" s="1"/>
  <c r="I193" i="17"/>
  <c r="N193" i="17" s="1"/>
  <c r="J193" i="17"/>
  <c r="O193" i="17" s="1"/>
  <c r="K193" i="17"/>
  <c r="L193" i="17"/>
  <c r="M193" i="17" s="1"/>
  <c r="I194" i="17"/>
  <c r="N194" i="17" s="1"/>
  <c r="J194" i="17"/>
  <c r="O194" i="17" s="1"/>
  <c r="K194" i="17"/>
  <c r="L194" i="17"/>
  <c r="M194" i="17" s="1"/>
  <c r="I195" i="17"/>
  <c r="J195" i="17"/>
  <c r="O195" i="17" s="1"/>
  <c r="K195" i="17"/>
  <c r="L195" i="17"/>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J199" i="17"/>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J210" i="17"/>
  <c r="O210" i="17" s="1"/>
  <c r="K210" i="17"/>
  <c r="L210" i="17"/>
  <c r="M210" i="17" s="1"/>
  <c r="I211" i="17"/>
  <c r="J211" i="17"/>
  <c r="O211" i="17" s="1"/>
  <c r="K211" i="17"/>
  <c r="L211" i="17"/>
  <c r="I212" i="17"/>
  <c r="N212" i="17" s="1"/>
  <c r="J212" i="17"/>
  <c r="O212" i="17" s="1"/>
  <c r="K212" i="17"/>
  <c r="L212" i="17"/>
  <c r="I213" i="17"/>
  <c r="N213" i="17" s="1"/>
  <c r="J213" i="17"/>
  <c r="O213" i="17" s="1"/>
  <c r="K213" i="17"/>
  <c r="L213" i="17"/>
  <c r="I214" i="17"/>
  <c r="N214" i="17" s="1"/>
  <c r="J214" i="17"/>
  <c r="O214" i="17" s="1"/>
  <c r="K214" i="17"/>
  <c r="L214" i="17"/>
  <c r="M214" i="17" s="1"/>
  <c r="I215" i="17"/>
  <c r="N215" i="17" s="1"/>
  <c r="J215" i="17"/>
  <c r="O215" i="17" s="1"/>
  <c r="K215" i="17"/>
  <c r="L215" i="17"/>
  <c r="I216" i="17"/>
  <c r="N216" i="17" s="1"/>
  <c r="J216" i="17"/>
  <c r="O216" i="17" s="1"/>
  <c r="K216" i="17"/>
  <c r="L216" i="17"/>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K235" i="17"/>
  <c r="L235" i="17"/>
  <c r="M235" i="17" s="1"/>
  <c r="I236" i="17"/>
  <c r="N236" i="17" s="1"/>
  <c r="J236" i="17"/>
  <c r="O236" i="17" s="1"/>
  <c r="K236" i="17"/>
  <c r="L236" i="17"/>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I244" i="17"/>
  <c r="J244" i="17"/>
  <c r="O244" i="17" s="1"/>
  <c r="K244" i="17"/>
  <c r="L244" i="17"/>
  <c r="I245" i="17"/>
  <c r="N245" i="17" s="1"/>
  <c r="J245" i="17"/>
  <c r="O245" i="17" s="1"/>
  <c r="K245" i="17"/>
  <c r="L245" i="17"/>
  <c r="M245" i="17" s="1"/>
  <c r="I246" i="17"/>
  <c r="N246" i="17" s="1"/>
  <c r="J246" i="17"/>
  <c r="O246" i="17" s="1"/>
  <c r="K246" i="17"/>
  <c r="L246" i="17"/>
  <c r="M246" i="17" s="1"/>
  <c r="I247" i="17"/>
  <c r="J247" i="17"/>
  <c r="O247" i="17" s="1"/>
  <c r="K247" i="17"/>
  <c r="L247" i="17"/>
  <c r="I248" i="17"/>
  <c r="N248" i="17" s="1"/>
  <c r="J248" i="17"/>
  <c r="K248" i="17"/>
  <c r="L248" i="17"/>
  <c r="I249" i="17"/>
  <c r="J249" i="17"/>
  <c r="K249" i="17"/>
  <c r="L249" i="17"/>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I268" i="17"/>
  <c r="J268" i="17"/>
  <c r="O268" i="17" s="1"/>
  <c r="K268" i="17"/>
  <c r="L268" i="17"/>
  <c r="M268" i="17" s="1"/>
  <c r="I269" i="17"/>
  <c r="J269" i="17"/>
  <c r="O269" i="17" s="1"/>
  <c r="K269" i="17"/>
  <c r="L269" i="17"/>
  <c r="M269" i="17" s="1"/>
  <c r="I270" i="17"/>
  <c r="N270" i="17" s="1"/>
  <c r="J270" i="17"/>
  <c r="O270" i="17" s="1"/>
  <c r="K270" i="17"/>
  <c r="L270" i="17"/>
  <c r="M270" i="17" s="1"/>
  <c r="I271" i="17"/>
  <c r="N271" i="17" s="1"/>
  <c r="J271" i="17"/>
  <c r="O271" i="17" s="1"/>
  <c r="K271" i="17"/>
  <c r="L271" i="17"/>
  <c r="I272" i="17"/>
  <c r="N272" i="17" s="1"/>
  <c r="J272" i="17"/>
  <c r="O272" i="17" s="1"/>
  <c r="K272" i="17"/>
  <c r="L272" i="17"/>
  <c r="M272" i="17" s="1"/>
  <c r="I273" i="17"/>
  <c r="J273" i="17"/>
  <c r="O273" i="17" s="1"/>
  <c r="K273" i="17"/>
  <c r="L273" i="17"/>
  <c r="M273" i="17" s="1"/>
  <c r="I274" i="17"/>
  <c r="N274" i="17" s="1"/>
  <c r="J274" i="17"/>
  <c r="O274" i="17" s="1"/>
  <c r="K274" i="17"/>
  <c r="L274" i="17"/>
  <c r="M274" i="17" s="1"/>
  <c r="I275" i="17"/>
  <c r="N275" i="17" s="1"/>
  <c r="J275" i="17"/>
  <c r="O275" i="17" s="1"/>
  <c r="K275" i="17"/>
  <c r="L275" i="17"/>
  <c r="I276" i="17"/>
  <c r="N276" i="17" s="1"/>
  <c r="J276" i="17"/>
  <c r="O276" i="17" s="1"/>
  <c r="K276" i="17"/>
  <c r="L276" i="17"/>
  <c r="M276" i="17" s="1"/>
  <c r="I277" i="17"/>
  <c r="N277" i="17" s="1"/>
  <c r="J277" i="17"/>
  <c r="O277" i="17" s="1"/>
  <c r="K277" i="17"/>
  <c r="L277" i="17"/>
  <c r="M277" i="17" s="1"/>
  <c r="I278" i="17"/>
  <c r="J278" i="17"/>
  <c r="O278" i="17" s="1"/>
  <c r="K278" i="17"/>
  <c r="L278" i="17"/>
  <c r="M278" i="17" s="1"/>
  <c r="I279" i="17"/>
  <c r="N279" i="17" s="1"/>
  <c r="J279" i="17"/>
  <c r="K279" i="17"/>
  <c r="L279" i="17"/>
  <c r="M279" i="17" s="1"/>
  <c r="I280" i="17"/>
  <c r="N280" i="17" s="1"/>
  <c r="J280" i="17"/>
  <c r="O280" i="17" s="1"/>
  <c r="K280" i="17"/>
  <c r="L280" i="17"/>
  <c r="M280" i="17" s="1"/>
  <c r="I281" i="17"/>
  <c r="N281" i="17" s="1"/>
  <c r="J281" i="17"/>
  <c r="O281" i="17" s="1"/>
  <c r="K281" i="17"/>
  <c r="L281" i="17"/>
  <c r="M281" i="17" s="1"/>
  <c r="I282" i="17"/>
  <c r="J282" i="17"/>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I288" i="17"/>
  <c r="N288" i="17" s="1"/>
  <c r="J288" i="17"/>
  <c r="O288" i="17" s="1"/>
  <c r="K288" i="17"/>
  <c r="L288" i="17"/>
  <c r="I289" i="17"/>
  <c r="N289" i="17" s="1"/>
  <c r="J289" i="17"/>
  <c r="O289" i="17" s="1"/>
  <c r="K289" i="17"/>
  <c r="L289" i="17"/>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I313" i="17"/>
  <c r="N313" i="17" s="1"/>
  <c r="J313" i="17"/>
  <c r="O313" i="17" s="1"/>
  <c r="K313" i="17"/>
  <c r="L313" i="17"/>
  <c r="M313" i="17" s="1"/>
  <c r="I314" i="17"/>
  <c r="N314" i="17" s="1"/>
  <c r="J314" i="17"/>
  <c r="O314" i="17" s="1"/>
  <c r="K314" i="17"/>
  <c r="L314" i="17"/>
  <c r="M314" i="17" s="1"/>
  <c r="I315" i="17"/>
  <c r="N315" i="17" s="1"/>
  <c r="J315" i="17"/>
  <c r="O315" i="17" s="1"/>
  <c r="K315" i="17"/>
  <c r="L315" i="17"/>
  <c r="I316" i="17"/>
  <c r="N316" i="17" s="1"/>
  <c r="J316" i="17"/>
  <c r="O316" i="17" s="1"/>
  <c r="K316" i="17"/>
  <c r="L316" i="17"/>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J329" i="17"/>
  <c r="O329" i="17" s="1"/>
  <c r="K329" i="17"/>
  <c r="L329" i="17"/>
  <c r="M329" i="17" s="1"/>
  <c r="I330" i="17"/>
  <c r="N330" i="17" s="1"/>
  <c r="J330" i="17"/>
  <c r="O330" i="17" s="1"/>
  <c r="K330" i="17"/>
  <c r="L330" i="17"/>
  <c r="M330" i="17" s="1"/>
  <c r="I331" i="17"/>
  <c r="N331" i="17" s="1"/>
  <c r="J331" i="17"/>
  <c r="O331" i="17" s="1"/>
  <c r="K331" i="17"/>
  <c r="L331" i="17"/>
  <c r="M331" i="17" s="1"/>
  <c r="I332" i="17"/>
  <c r="J332" i="17"/>
  <c r="O332" i="17" s="1"/>
  <c r="K332" i="17"/>
  <c r="L332" i="17"/>
  <c r="M332" i="17" s="1"/>
  <c r="I333" i="17"/>
  <c r="J333" i="17"/>
  <c r="O333" i="17" s="1"/>
  <c r="K333" i="17"/>
  <c r="L333" i="17"/>
  <c r="M333" i="17" s="1"/>
  <c r="I334" i="17"/>
  <c r="J334" i="17"/>
  <c r="O334" i="17" s="1"/>
  <c r="K334" i="17"/>
  <c r="L334" i="17"/>
  <c r="M334" i="17" s="1"/>
  <c r="I335" i="17"/>
  <c r="N335" i="17" s="1"/>
  <c r="J335" i="17"/>
  <c r="O335" i="17" s="1"/>
  <c r="K335" i="17"/>
  <c r="L335" i="17"/>
  <c r="M335" i="17" s="1"/>
  <c r="I336" i="17"/>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I345" i="17"/>
  <c r="N345" i="17" s="1"/>
  <c r="J345" i="17"/>
  <c r="O345" i="17" s="1"/>
  <c r="K345" i="17"/>
  <c r="L345" i="17"/>
  <c r="M345" i="17" s="1"/>
  <c r="I346" i="17"/>
  <c r="N346" i="17" s="1"/>
  <c r="J346" i="17"/>
  <c r="O346" i="17" s="1"/>
  <c r="K346" i="17"/>
  <c r="L346" i="17"/>
  <c r="M346" i="17" s="1"/>
  <c r="I347" i="17"/>
  <c r="N347" i="17" s="1"/>
  <c r="J347" i="17"/>
  <c r="O347" i="17" s="1"/>
  <c r="K347" i="17"/>
  <c r="L347" i="17"/>
  <c r="I348" i="17"/>
  <c r="N348" i="17" s="1"/>
  <c r="J348" i="17"/>
  <c r="O348" i="17" s="1"/>
  <c r="K348" i="17"/>
  <c r="L348" i="17"/>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I354" i="17"/>
  <c r="N354" i="17" s="1"/>
  <c r="J354" i="17"/>
  <c r="O354" i="17" s="1"/>
  <c r="K354" i="17"/>
  <c r="L354" i="17"/>
  <c r="M354" i="17" s="1"/>
  <c r="I355" i="17"/>
  <c r="N355" i="17" s="1"/>
  <c r="J355" i="17"/>
  <c r="O355" i="17" s="1"/>
  <c r="K355" i="17"/>
  <c r="L355" i="17"/>
  <c r="M355" i="17" s="1"/>
  <c r="I356" i="17"/>
  <c r="N356" i="17" s="1"/>
  <c r="J356" i="17"/>
  <c r="K356" i="17"/>
  <c r="L356" i="17"/>
  <c r="M356" i="17" s="1"/>
  <c r="I357" i="17"/>
  <c r="N357" i="17" s="1"/>
  <c r="J357" i="17"/>
  <c r="O357" i="17" s="1"/>
  <c r="K357" i="17"/>
  <c r="L357" i="17"/>
  <c r="M357" i="17" s="1"/>
  <c r="I358" i="17"/>
  <c r="N358" i="17" s="1"/>
  <c r="J358" i="17"/>
  <c r="O358" i="17" s="1"/>
  <c r="K358" i="17"/>
  <c r="L358" i="17"/>
  <c r="M358" i="17" s="1"/>
  <c r="I359" i="17"/>
  <c r="N359" i="17" s="1"/>
  <c r="J359" i="17"/>
  <c r="K359" i="17"/>
  <c r="L359" i="17"/>
  <c r="M359" i="17" s="1"/>
  <c r="I360" i="17"/>
  <c r="N360" i="17" s="1"/>
  <c r="J360" i="17"/>
  <c r="K360" i="17"/>
  <c r="L360" i="17"/>
  <c r="M360" i="17" s="1"/>
  <c r="I361" i="17"/>
  <c r="N361" i="17" s="1"/>
  <c r="J361" i="17"/>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J371" i="17"/>
  <c r="O371" i="17" s="1"/>
  <c r="K371" i="17"/>
  <c r="L371" i="17"/>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I380" i="17"/>
  <c r="N380" i="17" s="1"/>
  <c r="J380" i="17"/>
  <c r="O380" i="17" s="1"/>
  <c r="K380" i="17"/>
  <c r="L380" i="17"/>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J384" i="17"/>
  <c r="O384" i="17" s="1"/>
  <c r="K384" i="17"/>
  <c r="L384" i="17"/>
  <c r="I385" i="17"/>
  <c r="N385" i="17" s="1"/>
  <c r="J385" i="17"/>
  <c r="O385" i="17" s="1"/>
  <c r="K385" i="17"/>
  <c r="L385" i="17"/>
  <c r="I386" i="17"/>
  <c r="N386" i="17" s="1"/>
  <c r="J386" i="17"/>
  <c r="O386" i="17" s="1"/>
  <c r="K386" i="17"/>
  <c r="L386" i="17"/>
  <c r="M386" i="17" s="1"/>
  <c r="I387" i="17"/>
  <c r="N387" i="17" s="1"/>
  <c r="J387" i="17"/>
  <c r="O387" i="17" s="1"/>
  <c r="K387" i="17"/>
  <c r="L387" i="17"/>
  <c r="M387" i="17" s="1"/>
  <c r="I388" i="17"/>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K398" i="17"/>
  <c r="L398" i="17"/>
  <c r="M398" i="17" s="1"/>
  <c r="I399" i="17"/>
  <c r="J399" i="17"/>
  <c r="O399" i="17" s="1"/>
  <c r="K399" i="17"/>
  <c r="L399" i="17"/>
  <c r="M399" i="17" s="1"/>
  <c r="I400" i="17"/>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I405" i="17"/>
  <c r="N405" i="17" s="1"/>
  <c r="J405" i="17"/>
  <c r="O405" i="17" s="1"/>
  <c r="K405" i="17"/>
  <c r="L405" i="17"/>
  <c r="M405" i="17" s="1"/>
  <c r="I406" i="17"/>
  <c r="J406" i="17"/>
  <c r="O406" i="17" s="1"/>
  <c r="K406" i="17"/>
  <c r="L406" i="17"/>
  <c r="M406" i="17" s="1"/>
  <c r="I407" i="17"/>
  <c r="N407" i="17" s="1"/>
  <c r="J407" i="17"/>
  <c r="O407" i="17" s="1"/>
  <c r="K407" i="17"/>
  <c r="L407" i="17"/>
  <c r="I408" i="17"/>
  <c r="N408" i="17" s="1"/>
  <c r="J408" i="17"/>
  <c r="O408" i="17" s="1"/>
  <c r="K408" i="17"/>
  <c r="L408" i="17"/>
  <c r="I409" i="17"/>
  <c r="N409" i="17" s="1"/>
  <c r="J409" i="17"/>
  <c r="O409" i="17" s="1"/>
  <c r="K409" i="17"/>
  <c r="L409" i="17"/>
  <c r="M409" i="17" s="1"/>
  <c r="I410" i="17"/>
  <c r="N410" i="17" s="1"/>
  <c r="J410" i="17"/>
  <c r="O410" i="17" s="1"/>
  <c r="K410" i="17"/>
  <c r="L410" i="17"/>
  <c r="M410" i="17" s="1"/>
  <c r="I411" i="17"/>
  <c r="N411" i="17" s="1"/>
  <c r="J411" i="17"/>
  <c r="O411" i="17" s="1"/>
  <c r="K411" i="17"/>
  <c r="L411" i="17"/>
  <c r="I412" i="17"/>
  <c r="N412" i="17" s="1"/>
  <c r="J412" i="17"/>
  <c r="O412" i="17" s="1"/>
  <c r="K412" i="17"/>
  <c r="L412" i="17"/>
  <c r="I413" i="17"/>
  <c r="N413" i="17" s="1"/>
  <c r="J413" i="17"/>
  <c r="O413" i="17" s="1"/>
  <c r="K413" i="17"/>
  <c r="L413" i="17"/>
  <c r="M413" i="17" s="1"/>
  <c r="I414" i="17"/>
  <c r="N414" i="17" s="1"/>
  <c r="J414" i="17"/>
  <c r="O414" i="17" s="1"/>
  <c r="K414" i="17"/>
  <c r="L414" i="17"/>
  <c r="M414" i="17" s="1"/>
  <c r="I415" i="17"/>
  <c r="N415" i="17" s="1"/>
  <c r="J415" i="17"/>
  <c r="O415" i="17" s="1"/>
  <c r="K415" i="17"/>
  <c r="L415" i="17"/>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K437" i="17"/>
  <c r="L437" i="17"/>
  <c r="M437" i="17" s="1"/>
  <c r="I438" i="17"/>
  <c r="N438" i="17" s="1"/>
  <c r="J438" i="17"/>
  <c r="O438" i="17" s="1"/>
  <c r="K438" i="17"/>
  <c r="L438" i="17"/>
  <c r="M438" i="17" s="1"/>
  <c r="I439" i="17"/>
  <c r="N439" i="17" s="1"/>
  <c r="J439" i="17"/>
  <c r="O439" i="17" s="1"/>
  <c r="K439" i="17"/>
  <c r="L439" i="17"/>
  <c r="I440" i="17"/>
  <c r="N440" i="17" s="1"/>
  <c r="J440" i="17"/>
  <c r="O440" i="17" s="1"/>
  <c r="K440" i="17"/>
  <c r="L440" i="17"/>
  <c r="I441" i="17"/>
  <c r="N441" i="17" s="1"/>
  <c r="J441" i="17"/>
  <c r="O441" i="17" s="1"/>
  <c r="K441" i="17"/>
  <c r="L441" i="17"/>
  <c r="I442" i="17"/>
  <c r="N442" i="17" s="1"/>
  <c r="J442" i="17"/>
  <c r="O442" i="17" s="1"/>
  <c r="K442" i="17"/>
  <c r="L442" i="17"/>
  <c r="M442" i="17" s="1"/>
  <c r="I443" i="17"/>
  <c r="N443" i="17" s="1"/>
  <c r="J443" i="17"/>
  <c r="O443" i="17" s="1"/>
  <c r="K443" i="17"/>
  <c r="L443" i="17"/>
  <c r="M443" i="17" s="1"/>
  <c r="I444" i="17"/>
  <c r="J444" i="17"/>
  <c r="O444" i="17" s="1"/>
  <c r="K444" i="17"/>
  <c r="L444" i="17"/>
  <c r="M444" i="17" s="1"/>
  <c r="I445" i="17"/>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J452" i="17"/>
  <c r="O452" i="17" s="1"/>
  <c r="K452" i="17"/>
  <c r="L452" i="17"/>
  <c r="M452" i="17" s="1"/>
  <c r="I453" i="17"/>
  <c r="N453" i="17" s="1"/>
  <c r="J453" i="17"/>
  <c r="O453" i="17" s="1"/>
  <c r="K453" i="17"/>
  <c r="L453" i="17"/>
  <c r="M453" i="17" s="1"/>
  <c r="I454" i="17"/>
  <c r="J454" i="17"/>
  <c r="O454" i="17" s="1"/>
  <c r="K454" i="17"/>
  <c r="L454" i="17"/>
  <c r="M454" i="17" s="1"/>
  <c r="I455" i="17"/>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I473" i="17"/>
  <c r="N473" i="17" s="1"/>
  <c r="J473" i="17"/>
  <c r="O473" i="17" s="1"/>
  <c r="K473" i="17"/>
  <c r="L473" i="17"/>
  <c r="M473" i="17" s="1"/>
  <c r="I474" i="17"/>
  <c r="N474" i="17" s="1"/>
  <c r="J474" i="17"/>
  <c r="O474" i="17" s="1"/>
  <c r="K474" i="17"/>
  <c r="L474" i="17"/>
  <c r="M474" i="17" s="1"/>
  <c r="I475" i="17"/>
  <c r="N475" i="17" s="1"/>
  <c r="J475" i="17"/>
  <c r="O475" i="17" s="1"/>
  <c r="K475" i="17"/>
  <c r="L475" i="17"/>
  <c r="I476" i="17"/>
  <c r="N476" i="17" s="1"/>
  <c r="J476" i="17"/>
  <c r="O476" i="17" s="1"/>
  <c r="K476" i="17"/>
  <c r="L476" i="17"/>
  <c r="I477" i="17"/>
  <c r="N477" i="17" s="1"/>
  <c r="J477" i="17"/>
  <c r="O477" i="17" s="1"/>
  <c r="K477" i="17"/>
  <c r="L477" i="17"/>
  <c r="M477" i="17" s="1"/>
  <c r="I478" i="17"/>
  <c r="N478" i="17" s="1"/>
  <c r="J478" i="17"/>
  <c r="O478" i="17" s="1"/>
  <c r="K478" i="17"/>
  <c r="L478" i="17"/>
  <c r="M478" i="17" s="1"/>
  <c r="I479" i="17"/>
  <c r="J479" i="17"/>
  <c r="O479" i="17" s="1"/>
  <c r="K479" i="17"/>
  <c r="L479" i="17"/>
  <c r="M479" i="17" s="1"/>
  <c r="I480" i="17"/>
  <c r="N480" i="17" s="1"/>
  <c r="J480" i="17"/>
  <c r="O480" i="17" s="1"/>
  <c r="K480" i="17"/>
  <c r="L480" i="17"/>
  <c r="M480" i="17" s="1"/>
  <c r="I481" i="17"/>
  <c r="N481" i="17" s="1"/>
  <c r="J481" i="17"/>
  <c r="K481" i="17"/>
  <c r="L481" i="17"/>
  <c r="M481" i="17" s="1"/>
  <c r="I482" i="17"/>
  <c r="N482" i="17" s="1"/>
  <c r="J482" i="17"/>
  <c r="O482" i="17" s="1"/>
  <c r="K482" i="17"/>
  <c r="L482" i="17"/>
  <c r="M482" i="17" s="1"/>
  <c r="I483" i="17"/>
  <c r="N483" i="17" s="1"/>
  <c r="J483" i="17"/>
  <c r="O483" i="17" s="1"/>
  <c r="K483" i="17"/>
  <c r="L483" i="17"/>
  <c r="M483" i="17" s="1"/>
  <c r="I484" i="17"/>
  <c r="N484" i="17" s="1"/>
  <c r="J484" i="17"/>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J495" i="17"/>
  <c r="O495" i="17" s="1"/>
  <c r="K495" i="17"/>
  <c r="L495" i="17"/>
  <c r="M495" i="17" s="1"/>
  <c r="I496" i="17"/>
  <c r="N496" i="17" s="1"/>
  <c r="J496" i="17"/>
  <c r="O496" i="17" s="1"/>
  <c r="K496" i="17"/>
  <c r="L496" i="17"/>
  <c r="M496" i="17" s="1"/>
  <c r="I497" i="17"/>
  <c r="J497" i="17"/>
  <c r="O497" i="17" s="1"/>
  <c r="K497" i="17"/>
  <c r="L497" i="17"/>
  <c r="M497" i="17" s="1"/>
  <c r="I498" i="17"/>
  <c r="N498" i="17" s="1"/>
  <c r="J498" i="17"/>
  <c r="O498" i="17" s="1"/>
  <c r="K498" i="17"/>
  <c r="L498" i="17"/>
  <c r="M498" i="17" s="1"/>
  <c r="I499" i="17"/>
  <c r="N499" i="17" s="1"/>
  <c r="J499" i="17"/>
  <c r="O499" i="17" s="1"/>
  <c r="K499" i="17"/>
  <c r="L499" i="17"/>
  <c r="I500" i="17"/>
  <c r="N500" i="17" s="1"/>
  <c r="J500" i="17"/>
  <c r="O500" i="17" s="1"/>
  <c r="K500" i="17"/>
  <c r="L500" i="17"/>
  <c r="I501" i="17"/>
  <c r="N501" i="17" s="1"/>
  <c r="J501" i="17"/>
  <c r="K501" i="17"/>
  <c r="L501" i="17"/>
  <c r="I502" i="17"/>
  <c r="N502" i="17" s="1"/>
  <c r="J502" i="17"/>
  <c r="O502" i="17" s="1"/>
  <c r="K502" i="17"/>
  <c r="L502" i="17"/>
  <c r="M502" i="17" s="1"/>
  <c r="I503" i="17"/>
  <c r="N503" i="17" s="1"/>
  <c r="J503" i="17"/>
  <c r="O503" i="17" s="1"/>
  <c r="K503" i="17"/>
  <c r="L503" i="17"/>
  <c r="I504" i="17"/>
  <c r="N504" i="17" s="1"/>
  <c r="J504" i="17"/>
  <c r="O504" i="17" s="1"/>
  <c r="K504" i="17"/>
  <c r="L504" i="17"/>
  <c r="I505" i="17"/>
  <c r="N505" i="17" s="1"/>
  <c r="J505" i="17"/>
  <c r="O505" i="17" s="1"/>
  <c r="K505" i="17"/>
  <c r="L505" i="17"/>
  <c r="M505" i="17" s="1"/>
  <c r="I506" i="17"/>
  <c r="N506" i="17" s="1"/>
  <c r="J506" i="17"/>
  <c r="O506" i="17" s="1"/>
  <c r="K506" i="17"/>
  <c r="L506" i="17"/>
  <c r="M506" i="17" s="1"/>
  <c r="I507" i="17"/>
  <c r="N507" i="17" s="1"/>
  <c r="J507" i="17"/>
  <c r="K507" i="17"/>
  <c r="L507" i="17"/>
  <c r="M507" i="17" s="1"/>
  <c r="I508" i="17"/>
  <c r="N508" i="17" s="1"/>
  <c r="J508" i="17"/>
  <c r="O508" i="17" s="1"/>
  <c r="K508" i="17"/>
  <c r="L508" i="17"/>
  <c r="M508" i="17" s="1"/>
  <c r="I509" i="17"/>
  <c r="J509" i="17"/>
  <c r="O509" i="17" s="1"/>
  <c r="K509" i="17"/>
  <c r="L509" i="17"/>
  <c r="M509" i="17" s="1"/>
  <c r="I510" i="17"/>
  <c r="J510" i="17"/>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J524" i="17"/>
  <c r="O524" i="17" s="1"/>
  <c r="K524" i="17"/>
  <c r="L524" i="17"/>
  <c r="I525" i="17"/>
  <c r="J525" i="17"/>
  <c r="O525" i="17" s="1"/>
  <c r="K525" i="17"/>
  <c r="L525" i="17"/>
  <c r="M525" i="17" s="1"/>
  <c r="I526" i="17"/>
  <c r="N526" i="17" s="1"/>
  <c r="J526" i="17"/>
  <c r="O526" i="17" s="1"/>
  <c r="K526" i="17"/>
  <c r="L526" i="17"/>
  <c r="M526" i="17" s="1"/>
  <c r="I527" i="17"/>
  <c r="N527" i="17" s="1"/>
  <c r="J527" i="17"/>
  <c r="O527" i="17" s="1"/>
  <c r="K527" i="17"/>
  <c r="L527" i="17"/>
  <c r="I528" i="17"/>
  <c r="N528" i="17" s="1"/>
  <c r="J528" i="17"/>
  <c r="O528" i="17" s="1"/>
  <c r="K528" i="17"/>
  <c r="L528" i="17"/>
  <c r="I529" i="17"/>
  <c r="N529" i="17" s="1"/>
  <c r="J529" i="17"/>
  <c r="O529" i="17" s="1"/>
  <c r="K529" i="17"/>
  <c r="L529" i="17"/>
  <c r="M529" i="17" s="1"/>
  <c r="I530" i="17"/>
  <c r="N530" i="17" s="1"/>
  <c r="J530" i="17"/>
  <c r="O530" i="17" s="1"/>
  <c r="K530" i="17"/>
  <c r="L530" i="17"/>
  <c r="M530" i="17" s="1"/>
  <c r="I531" i="17"/>
  <c r="N531" i="17" s="1"/>
  <c r="J531" i="17"/>
  <c r="O531" i="17" s="1"/>
  <c r="K531" i="17"/>
  <c r="L531" i="17"/>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I560" i="17"/>
  <c r="N560" i="17" s="1"/>
  <c r="J560" i="17"/>
  <c r="O560" i="17" s="1"/>
  <c r="K560" i="17"/>
  <c r="L560" i="17"/>
  <c r="I561" i="17"/>
  <c r="J561" i="17"/>
  <c r="O561" i="17" s="1"/>
  <c r="K561" i="17"/>
  <c r="L561" i="17"/>
  <c r="M561" i="17" s="1"/>
  <c r="I562" i="17"/>
  <c r="N562" i="17" s="1"/>
  <c r="J562" i="17"/>
  <c r="O562" i="17" s="1"/>
  <c r="K562" i="17"/>
  <c r="L562" i="17"/>
  <c r="M562" i="17" s="1"/>
  <c r="I563" i="17"/>
  <c r="J563" i="17"/>
  <c r="O563" i="17" s="1"/>
  <c r="K563" i="17"/>
  <c r="L563" i="17"/>
  <c r="M563" i="17" s="1"/>
  <c r="I564" i="17"/>
  <c r="J564" i="17"/>
  <c r="O564" i="17" s="1"/>
  <c r="K564" i="17"/>
  <c r="L564" i="17"/>
  <c r="M564" i="17" s="1"/>
  <c r="I565" i="17"/>
  <c r="N565" i="17" s="1"/>
  <c r="J565" i="17"/>
  <c r="O565" i="17" s="1"/>
  <c r="K565" i="17"/>
  <c r="L565" i="17"/>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I576" i="17"/>
  <c r="N576" i="17" s="1"/>
  <c r="J576" i="17"/>
  <c r="O576" i="17" s="1"/>
  <c r="K576" i="17"/>
  <c r="L576" i="17"/>
  <c r="M576" i="17" s="1"/>
  <c r="I577" i="17"/>
  <c r="N577" i="17" s="1"/>
  <c r="J577" i="17"/>
  <c r="O577" i="17" s="1"/>
  <c r="K577" i="17"/>
  <c r="L577" i="17"/>
  <c r="M577" i="17" s="1"/>
  <c r="I578" i="17"/>
  <c r="J578" i="17"/>
  <c r="O578" i="17" s="1"/>
  <c r="K578" i="17"/>
  <c r="L578" i="17"/>
  <c r="M578" i="17" s="1"/>
  <c r="I579" i="17"/>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K583" i="17"/>
  <c r="L583" i="17"/>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I588" i="17"/>
  <c r="N588" i="17" s="1"/>
  <c r="J588" i="17"/>
  <c r="O588" i="17" s="1"/>
  <c r="K588" i="17"/>
  <c r="L588" i="17"/>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I613" i="17"/>
  <c r="N613" i="17" s="1"/>
  <c r="J613" i="17"/>
  <c r="O613" i="17" s="1"/>
  <c r="K613" i="17"/>
  <c r="L613" i="17"/>
  <c r="M613" i="17" s="1"/>
  <c r="I614" i="17"/>
  <c r="N614" i="17" s="1"/>
  <c r="J614" i="17"/>
  <c r="O614" i="17" s="1"/>
  <c r="K614" i="17"/>
  <c r="L614" i="17"/>
  <c r="M614" i="17" s="1"/>
  <c r="I615" i="17"/>
  <c r="J615" i="17"/>
  <c r="O615" i="17" s="1"/>
  <c r="K615" i="17"/>
  <c r="L615" i="17"/>
  <c r="M615" i="17" s="1"/>
  <c r="I616" i="17"/>
  <c r="J616" i="17"/>
  <c r="O616" i="17" s="1"/>
  <c r="K616" i="17"/>
  <c r="L616" i="17"/>
  <c r="I617" i="17"/>
  <c r="N617" i="17" s="1"/>
  <c r="J617" i="17"/>
  <c r="O617" i="17" s="1"/>
  <c r="K617" i="17"/>
  <c r="L617" i="17"/>
  <c r="M617" i="17" s="1"/>
  <c r="I618" i="17"/>
  <c r="N618" i="17" s="1"/>
  <c r="J618" i="17"/>
  <c r="O618" i="17" s="1"/>
  <c r="K618" i="17"/>
  <c r="L618" i="17"/>
  <c r="M618" i="17" s="1"/>
  <c r="I619" i="17"/>
  <c r="J619" i="17"/>
  <c r="O619" i="17" s="1"/>
  <c r="K619" i="17"/>
  <c r="L619" i="17"/>
  <c r="I620" i="17"/>
  <c r="N620" i="17" s="1"/>
  <c r="J620" i="17"/>
  <c r="O620" i="17" s="1"/>
  <c r="K620" i="17"/>
  <c r="L620" i="17"/>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K625" i="17"/>
  <c r="L625" i="17"/>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J634" i="17"/>
  <c r="O634" i="17" s="1"/>
  <c r="K634" i="17"/>
  <c r="L634" i="17"/>
  <c r="M634" i="17" s="1"/>
  <c r="I635" i="17"/>
  <c r="J635" i="17"/>
  <c r="O635" i="17" s="1"/>
  <c r="K635" i="17"/>
  <c r="L635" i="17"/>
  <c r="M635" i="17" s="1"/>
  <c r="I636" i="17"/>
  <c r="N636" i="17" s="1"/>
  <c r="J636" i="17"/>
  <c r="O636" i="17" s="1"/>
  <c r="K636" i="17"/>
  <c r="L636" i="17"/>
  <c r="I637" i="17"/>
  <c r="N637" i="17" s="1"/>
  <c r="J637" i="17"/>
  <c r="K637" i="17"/>
  <c r="L637" i="17"/>
  <c r="M637" i="17" s="1"/>
  <c r="I638" i="17"/>
  <c r="N638" i="17" s="1"/>
  <c r="J638" i="17"/>
  <c r="O638" i="17" s="1"/>
  <c r="K638" i="17"/>
  <c r="L638" i="17"/>
  <c r="M638" i="17" s="1"/>
  <c r="I639" i="17"/>
  <c r="N639" i="17" s="1"/>
  <c r="J639" i="17"/>
  <c r="K639" i="17"/>
  <c r="L639" i="17"/>
  <c r="M639" i="17" s="1"/>
  <c r="I640" i="17"/>
  <c r="J640" i="17"/>
  <c r="O640" i="17" s="1"/>
  <c r="K640" i="17"/>
  <c r="L640" i="17"/>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I656" i="17"/>
  <c r="J656" i="17"/>
  <c r="O656" i="17" s="1"/>
  <c r="K656" i="17"/>
  <c r="L656" i="17"/>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J676" i="17"/>
  <c r="O676" i="17" s="1"/>
  <c r="K676" i="17"/>
  <c r="L676" i="17"/>
  <c r="I677" i="17"/>
  <c r="N677" i="17" s="1"/>
  <c r="J677" i="17"/>
  <c r="O677" i="17" s="1"/>
  <c r="K677" i="17"/>
  <c r="L677" i="17"/>
  <c r="M677" i="17" s="1"/>
  <c r="I678" i="17"/>
  <c r="N678" i="17" s="1"/>
  <c r="J678" i="17"/>
  <c r="O678" i="17" s="1"/>
  <c r="K678" i="17"/>
  <c r="L678" i="17"/>
  <c r="M678" i="17" s="1"/>
  <c r="I679" i="17"/>
  <c r="N679" i="17" s="1"/>
  <c r="J679" i="17"/>
  <c r="O679" i="17" s="1"/>
  <c r="K679" i="17"/>
  <c r="L679" i="17"/>
  <c r="I680" i="17"/>
  <c r="N680" i="17" s="1"/>
  <c r="J680" i="17"/>
  <c r="O680" i="17" s="1"/>
  <c r="K680" i="17"/>
  <c r="L680" i="17"/>
  <c r="I681" i="17"/>
  <c r="N681" i="17" s="1"/>
  <c r="J681" i="17"/>
  <c r="O681" i="17" s="1"/>
  <c r="K681" i="17"/>
  <c r="L681" i="17"/>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J685" i="17"/>
  <c r="O685" i="17" s="1"/>
  <c r="K685" i="17"/>
  <c r="L685" i="17"/>
  <c r="M685" i="17" s="1"/>
  <c r="I686" i="17"/>
  <c r="N686" i="17" s="1"/>
  <c r="J686" i="17"/>
  <c r="O686" i="17" s="1"/>
  <c r="K686" i="17"/>
  <c r="L686" i="17"/>
  <c r="M686" i="17" s="1"/>
  <c r="I687" i="17"/>
  <c r="J687" i="17"/>
  <c r="O687" i="17" s="1"/>
  <c r="K687" i="17"/>
  <c r="L687" i="17"/>
  <c r="M687" i="17" s="1"/>
  <c r="I688" i="17"/>
  <c r="J688" i="17"/>
  <c r="O688" i="17" s="1"/>
  <c r="K688" i="17"/>
  <c r="L688" i="17"/>
  <c r="M688" i="17" s="1"/>
  <c r="I689" i="17"/>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I704" i="17"/>
  <c r="N704" i="17" s="1"/>
  <c r="J704" i="17"/>
  <c r="O704" i="17" s="1"/>
  <c r="K704" i="17"/>
  <c r="L704" i="17"/>
  <c r="I705" i="17"/>
  <c r="N705" i="17" s="1"/>
  <c r="J705" i="17"/>
  <c r="O705" i="17" s="1"/>
  <c r="K705" i="17"/>
  <c r="L705" i="17"/>
  <c r="I706" i="17"/>
  <c r="N706" i="17" s="1"/>
  <c r="J706" i="17"/>
  <c r="O706" i="17" s="1"/>
  <c r="K706" i="17"/>
  <c r="L706" i="17"/>
  <c r="M706" i="17" s="1"/>
  <c r="I707" i="17"/>
  <c r="N707" i="17" s="1"/>
  <c r="J707" i="17"/>
  <c r="O707" i="17" s="1"/>
  <c r="K707" i="17"/>
  <c r="L707" i="17"/>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K711" i="17"/>
  <c r="L711" i="17"/>
  <c r="M711" i="17" s="1"/>
  <c r="I712" i="17"/>
  <c r="N712" i="17" s="1"/>
  <c r="J712" i="17"/>
  <c r="O712" i="17" s="1"/>
  <c r="K712" i="17"/>
  <c r="L712" i="17"/>
  <c r="I713" i="17"/>
  <c r="N713" i="17" s="1"/>
  <c r="J713" i="17"/>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K719" i="17"/>
  <c r="L719" i="17"/>
  <c r="M719" i="17" s="1"/>
  <c r="I720" i="17"/>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I729" i="17"/>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J736" i="17"/>
  <c r="O736" i="17" s="1"/>
  <c r="K736" i="17"/>
  <c r="L736" i="17"/>
  <c r="I737" i="17"/>
  <c r="J737" i="17"/>
  <c r="O737" i="17" s="1"/>
  <c r="K737" i="17"/>
  <c r="L737" i="17"/>
  <c r="M737" i="17" s="1"/>
  <c r="I738" i="17"/>
  <c r="N738" i="17" s="1"/>
  <c r="J738" i="17"/>
  <c r="O738" i="17" s="1"/>
  <c r="K738" i="17"/>
  <c r="L738" i="17"/>
  <c r="M738" i="17" s="1"/>
  <c r="I739" i="17"/>
  <c r="N739" i="17" s="1"/>
  <c r="J739" i="17"/>
  <c r="O739" i="17" s="1"/>
  <c r="K739" i="17"/>
  <c r="L739" i="17"/>
  <c r="I740" i="17"/>
  <c r="N740" i="17" s="1"/>
  <c r="J740" i="17"/>
  <c r="O740" i="17" s="1"/>
  <c r="K740" i="17"/>
  <c r="L740" i="17"/>
  <c r="I741" i="17"/>
  <c r="N741" i="17" s="1"/>
  <c r="J741" i="17"/>
  <c r="O741" i="17" s="1"/>
  <c r="K741" i="17"/>
  <c r="L741" i="17"/>
  <c r="M741" i="17" s="1"/>
  <c r="I742" i="17"/>
  <c r="J742" i="17"/>
  <c r="O742" i="17" s="1"/>
  <c r="K742" i="17"/>
  <c r="L742" i="17"/>
  <c r="M742" i="17" s="1"/>
  <c r="I743" i="17"/>
  <c r="N743" i="17" s="1"/>
  <c r="J743" i="17"/>
  <c r="K743" i="17"/>
  <c r="L743" i="17"/>
  <c r="M743" i="17" s="1"/>
  <c r="I744" i="17"/>
  <c r="N744" i="17" s="1"/>
  <c r="J744" i="17"/>
  <c r="K744" i="17"/>
  <c r="L744" i="17"/>
  <c r="M744" i="17" s="1"/>
  <c r="I745" i="17"/>
  <c r="J745" i="17"/>
  <c r="O745" i="17" s="1"/>
  <c r="K745" i="17"/>
  <c r="L745" i="17"/>
  <c r="M745" i="17" s="1"/>
  <c r="I746" i="17"/>
  <c r="N746" i="17" s="1"/>
  <c r="J746" i="17"/>
  <c r="O746" i="17" s="1"/>
  <c r="K746" i="17"/>
  <c r="L746" i="17"/>
  <c r="M746" i="17" s="1"/>
  <c r="I747" i="17"/>
  <c r="N747" i="17" s="1"/>
  <c r="J747" i="17"/>
  <c r="O747" i="17" s="1"/>
  <c r="K747" i="17"/>
  <c r="L747" i="17"/>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K756" i="17"/>
  <c r="L756" i="17"/>
  <c r="I757" i="17"/>
  <c r="N757" i="17" s="1"/>
  <c r="J757" i="17"/>
  <c r="O757" i="17" s="1"/>
  <c r="K757" i="17"/>
  <c r="L757" i="17"/>
  <c r="M757" i="17" s="1"/>
  <c r="I758" i="17"/>
  <c r="N758" i="17" s="1"/>
  <c r="J758" i="17"/>
  <c r="O758" i="17" s="1"/>
  <c r="K758" i="17"/>
  <c r="L758" i="17"/>
  <c r="M758" i="17" s="1"/>
  <c r="I759" i="17"/>
  <c r="N759" i="17" s="1"/>
  <c r="J759" i="17"/>
  <c r="O759" i="17" s="1"/>
  <c r="K759" i="17"/>
  <c r="L759" i="17"/>
  <c r="I760" i="17"/>
  <c r="N760" i="17" s="1"/>
  <c r="J760" i="17"/>
  <c r="O760" i="17" s="1"/>
  <c r="K760" i="17"/>
  <c r="L760" i="17"/>
  <c r="I761" i="17"/>
  <c r="N761" i="17" s="1"/>
  <c r="J761" i="17"/>
  <c r="O761" i="17" s="1"/>
  <c r="K761" i="17"/>
  <c r="L761" i="17"/>
  <c r="I762" i="17"/>
  <c r="N762" i="17" s="1"/>
  <c r="J762" i="17"/>
  <c r="O762" i="17" s="1"/>
  <c r="K762" i="17"/>
  <c r="L762" i="17"/>
  <c r="M762" i="17" s="1"/>
  <c r="I763" i="17"/>
  <c r="N763" i="17" s="1"/>
  <c r="J763" i="17"/>
  <c r="O763" i="17" s="1"/>
  <c r="K763" i="17"/>
  <c r="L763" i="17"/>
  <c r="I764" i="17"/>
  <c r="N764" i="17" s="1"/>
  <c r="J764" i="17"/>
  <c r="O764" i="17" s="1"/>
  <c r="K764" i="17"/>
  <c r="L764" i="17"/>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K783" i="17"/>
  <c r="L783" i="17"/>
  <c r="M783" i="17" s="1"/>
  <c r="I784" i="17"/>
  <c r="N784" i="17" s="1"/>
  <c r="J784" i="17"/>
  <c r="O784" i="17" s="1"/>
  <c r="K784" i="17"/>
  <c r="L784" i="17"/>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I789" i="17"/>
  <c r="N789" i="17" s="1"/>
  <c r="J789" i="17"/>
  <c r="O789" i="17" s="1"/>
  <c r="K789" i="17"/>
  <c r="L789" i="17"/>
  <c r="I790" i="17"/>
  <c r="N790" i="17" s="1"/>
  <c r="J790" i="17"/>
  <c r="O790" i="17" s="1"/>
  <c r="K790" i="17"/>
  <c r="L790" i="17"/>
  <c r="M790" i="17" s="1"/>
  <c r="I791" i="17"/>
  <c r="J791" i="17"/>
  <c r="O791" i="17" s="1"/>
  <c r="K791" i="17"/>
  <c r="L791" i="17"/>
  <c r="I792" i="17"/>
  <c r="J792" i="17"/>
  <c r="O792" i="17" s="1"/>
  <c r="K792" i="17"/>
  <c r="L792" i="17"/>
  <c r="M792" i="17" s="1"/>
  <c r="I793" i="17"/>
  <c r="J793" i="17"/>
  <c r="O793" i="17" s="1"/>
  <c r="K793" i="17"/>
  <c r="L793" i="17"/>
  <c r="M793" i="17" s="1"/>
  <c r="I794" i="17"/>
  <c r="J794" i="17"/>
  <c r="O794" i="17" s="1"/>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I817" i="17"/>
  <c r="N817" i="17" s="1"/>
  <c r="J817" i="17"/>
  <c r="O817" i="17" s="1"/>
  <c r="K817" i="17"/>
  <c r="L817" i="17"/>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K823" i="17"/>
  <c r="L823" i="17"/>
  <c r="I824" i="17"/>
  <c r="N824" i="17" s="1"/>
  <c r="J824" i="17"/>
  <c r="K824" i="17"/>
  <c r="L824" i="17"/>
  <c r="M824" i="17" s="1"/>
  <c r="I825" i="17"/>
  <c r="N825" i="17" s="1"/>
  <c r="J825" i="17"/>
  <c r="K825" i="17"/>
  <c r="L825" i="17"/>
  <c r="M825" i="17" s="1"/>
  <c r="I826" i="17"/>
  <c r="N826" i="17" s="1"/>
  <c r="J826" i="17"/>
  <c r="O826" i="17" s="1"/>
  <c r="K826" i="17"/>
  <c r="L826" i="17"/>
  <c r="M826" i="17" s="1"/>
  <c r="I827" i="17"/>
  <c r="N827" i="17" s="1"/>
  <c r="J827" i="17"/>
  <c r="O827" i="17" s="1"/>
  <c r="K827" i="17"/>
  <c r="L827" i="17"/>
  <c r="M827" i="17" s="1"/>
  <c r="I828" i="17"/>
  <c r="J828" i="17"/>
  <c r="O828" i="17" s="1"/>
  <c r="K828" i="17"/>
  <c r="L828" i="17"/>
  <c r="M828" i="17" s="1"/>
  <c r="I829" i="17"/>
  <c r="J829" i="17"/>
  <c r="O829" i="17" s="1"/>
  <c r="K829" i="17"/>
  <c r="L829" i="17"/>
  <c r="M829" i="17" s="1"/>
  <c r="I830" i="17"/>
  <c r="N830" i="17" s="1"/>
  <c r="J830" i="17"/>
  <c r="O830" i="17" s="1"/>
  <c r="K830" i="17"/>
  <c r="L830" i="17"/>
  <c r="M830" i="17" s="1"/>
  <c r="I831" i="17"/>
  <c r="N831" i="17" s="1"/>
  <c r="J831" i="17"/>
  <c r="O831" i="17" s="1"/>
  <c r="K831" i="17"/>
  <c r="L831" i="17"/>
  <c r="I832" i="17"/>
  <c r="J832" i="17"/>
  <c r="O832" i="17" s="1"/>
  <c r="K832" i="17"/>
  <c r="L832" i="17"/>
  <c r="M832" i="17" s="1"/>
  <c r="I833" i="17"/>
  <c r="N833" i="17" s="1"/>
  <c r="J833" i="17"/>
  <c r="K833" i="17"/>
  <c r="L833" i="17"/>
  <c r="M833" i="17" s="1"/>
  <c r="I834" i="17"/>
  <c r="N834" i="17" s="1"/>
  <c r="J834" i="17"/>
  <c r="O834" i="17" s="1"/>
  <c r="K834" i="17"/>
  <c r="L834" i="17"/>
  <c r="M834" i="17" s="1"/>
  <c r="I835" i="17"/>
  <c r="N835" i="17" s="1"/>
  <c r="J835" i="17"/>
  <c r="O835" i="17" s="1"/>
  <c r="K835" i="17"/>
  <c r="L835" i="17"/>
  <c r="M835" i="17" s="1"/>
  <c r="I836" i="17"/>
  <c r="J836" i="17"/>
  <c r="O836" i="17" s="1"/>
  <c r="K836" i="17"/>
  <c r="L836" i="17"/>
  <c r="M836" i="17" s="1"/>
  <c r="I837" i="17"/>
  <c r="N837" i="17" s="1"/>
  <c r="J837" i="17"/>
  <c r="O837" i="17" s="1"/>
  <c r="K837" i="17"/>
  <c r="L837" i="17"/>
  <c r="M837" i="17" s="1"/>
  <c r="I838" i="17"/>
  <c r="J838" i="17"/>
  <c r="O838" i="17" s="1"/>
  <c r="K838" i="17"/>
  <c r="L838" i="17"/>
  <c r="M838" i="17" s="1"/>
  <c r="I839" i="17"/>
  <c r="N839" i="17" s="1"/>
  <c r="J839" i="17"/>
  <c r="O839" i="17" s="1"/>
  <c r="K839" i="17"/>
  <c r="L839" i="17"/>
  <c r="I840" i="17"/>
  <c r="N840" i="17" s="1"/>
  <c r="J840" i="17"/>
  <c r="O840" i="17" s="1"/>
  <c r="K840" i="17"/>
  <c r="L840" i="17"/>
  <c r="M840" i="17" s="1"/>
  <c r="I841" i="17"/>
  <c r="N841" i="17" s="1"/>
  <c r="J841" i="17"/>
  <c r="O841" i="17" s="1"/>
  <c r="K841" i="17"/>
  <c r="L841" i="17"/>
  <c r="M841" i="17" s="1"/>
  <c r="I842" i="17"/>
  <c r="J842" i="17"/>
  <c r="O842" i="17" s="1"/>
  <c r="K842" i="17"/>
  <c r="L842" i="17"/>
  <c r="M842" i="17" s="1"/>
  <c r="I843" i="17"/>
  <c r="N843" i="17" s="1"/>
  <c r="J843" i="17"/>
  <c r="K843" i="17"/>
  <c r="L843" i="17"/>
  <c r="I844" i="17"/>
  <c r="N844" i="17" s="1"/>
  <c r="J844" i="17"/>
  <c r="O844" i="17" s="1"/>
  <c r="K844" i="17"/>
  <c r="L844" i="17"/>
  <c r="M844" i="17" s="1"/>
  <c r="I845" i="17"/>
  <c r="N845" i="17" s="1"/>
  <c r="J845" i="17"/>
  <c r="K845" i="17"/>
  <c r="L845" i="17"/>
  <c r="M845" i="17" s="1"/>
  <c r="I846" i="17"/>
  <c r="N846" i="17" s="1"/>
  <c r="J846" i="17"/>
  <c r="O846" i="17" s="1"/>
  <c r="K846" i="17"/>
  <c r="L846" i="17"/>
  <c r="M846" i="17" s="1"/>
  <c r="I847" i="17"/>
  <c r="N847" i="17" s="1"/>
  <c r="J847" i="17"/>
  <c r="O847" i="17" s="1"/>
  <c r="K847" i="17"/>
  <c r="L847" i="17"/>
  <c r="I848" i="17"/>
  <c r="N848" i="17" s="1"/>
  <c r="J848" i="17"/>
  <c r="O848" i="17" s="1"/>
  <c r="K848" i="17"/>
  <c r="L848" i="17"/>
  <c r="I849" i="17"/>
  <c r="N849" i="17" s="1"/>
  <c r="J849" i="17"/>
  <c r="O849" i="17" s="1"/>
  <c r="K849" i="17"/>
  <c r="L849" i="17"/>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I868" i="17"/>
  <c r="N868" i="17" s="1"/>
  <c r="J868" i="17"/>
  <c r="O868" i="17" s="1"/>
  <c r="K868" i="17"/>
  <c r="L868" i="17"/>
  <c r="I869" i="17"/>
  <c r="N869" i="17" s="1"/>
  <c r="J869" i="17"/>
  <c r="O869" i="17" s="1"/>
  <c r="K869" i="17"/>
  <c r="L869" i="17"/>
  <c r="M869" i="17" s="1"/>
  <c r="I870" i="17"/>
  <c r="N870" i="17" s="1"/>
  <c r="J870" i="17"/>
  <c r="O870" i="17" s="1"/>
  <c r="K870" i="17"/>
  <c r="L870" i="17"/>
  <c r="M870" i="17" s="1"/>
  <c r="I871" i="17"/>
  <c r="N871" i="17" s="1"/>
  <c r="J871" i="17"/>
  <c r="O871" i="17" s="1"/>
  <c r="K871" i="17"/>
  <c r="L871" i="17"/>
  <c r="I872" i="17"/>
  <c r="N872" i="17" s="1"/>
  <c r="J872" i="17"/>
  <c r="O872" i="17" s="1"/>
  <c r="K872" i="17"/>
  <c r="L872" i="17"/>
  <c r="I873" i="17"/>
  <c r="N873" i="17" s="1"/>
  <c r="J873" i="17"/>
  <c r="O873" i="17" s="1"/>
  <c r="K873" i="17"/>
  <c r="L873" i="17"/>
  <c r="I874" i="17"/>
  <c r="N874" i="17" s="1"/>
  <c r="J874" i="17"/>
  <c r="O874" i="17" s="1"/>
  <c r="K874" i="17"/>
  <c r="L874" i="17"/>
  <c r="M874" i="17" s="1"/>
  <c r="I875" i="17"/>
  <c r="J875" i="17"/>
  <c r="O875" i="17" s="1"/>
  <c r="K875" i="17"/>
  <c r="L875" i="17"/>
  <c r="M875" i="17" s="1"/>
  <c r="I876" i="17"/>
  <c r="N876" i="17" s="1"/>
  <c r="J876" i="17"/>
  <c r="O876" i="17" s="1"/>
  <c r="K876" i="17"/>
  <c r="L876" i="17"/>
  <c r="M876" i="17" s="1"/>
  <c r="I877" i="17"/>
  <c r="N877" i="17" s="1"/>
  <c r="J877" i="17"/>
  <c r="O877" i="17" s="1"/>
  <c r="K877" i="17"/>
  <c r="L877" i="17"/>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J883" i="17"/>
  <c r="O883" i="17" s="1"/>
  <c r="K883" i="17"/>
  <c r="L883" i="17"/>
  <c r="M883" i="17" s="1"/>
  <c r="I884" i="17"/>
  <c r="J884" i="17"/>
  <c r="O884" i="17" s="1"/>
  <c r="K884" i="17"/>
  <c r="L884" i="17"/>
  <c r="M884" i="17" s="1"/>
  <c r="I885" i="17"/>
  <c r="N885" i="17" s="1"/>
  <c r="J885" i="17"/>
  <c r="O885" i="17" s="1"/>
  <c r="K885" i="17"/>
  <c r="L885" i="17"/>
  <c r="M885" i="17" s="1"/>
  <c r="I886" i="17"/>
  <c r="N886" i="17" s="1"/>
  <c r="J886" i="17"/>
  <c r="O886" i="17" s="1"/>
  <c r="K886" i="17"/>
  <c r="L886" i="17"/>
  <c r="M886" i="17" s="1"/>
  <c r="I887" i="17"/>
  <c r="J887" i="17"/>
  <c r="O887" i="17" s="1"/>
  <c r="K887" i="17"/>
  <c r="L887" i="17"/>
  <c r="I888" i="17"/>
  <c r="N888" i="17" s="1"/>
  <c r="J888" i="17"/>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I897" i="17"/>
  <c r="N897" i="17" s="1"/>
  <c r="J897" i="17"/>
  <c r="O897" i="17" s="1"/>
  <c r="K897" i="17"/>
  <c r="L897" i="17"/>
  <c r="I898" i="17"/>
  <c r="N898" i="17" s="1"/>
  <c r="J898" i="17"/>
  <c r="O898" i="17" s="1"/>
  <c r="K898" i="17"/>
  <c r="L898" i="17"/>
  <c r="M898" i="17" s="1"/>
  <c r="I899" i="17"/>
  <c r="N899" i="17" s="1"/>
  <c r="J899" i="17"/>
  <c r="O899" i="17" s="1"/>
  <c r="K899" i="17"/>
  <c r="L899" i="17"/>
  <c r="M899" i="17" s="1"/>
  <c r="I900" i="17"/>
  <c r="N900" i="17" s="1"/>
  <c r="J900" i="17"/>
  <c r="O900" i="17" s="1"/>
  <c r="K900" i="17"/>
  <c r="L900" i="17"/>
  <c r="I901" i="17"/>
  <c r="N901" i="17" s="1"/>
  <c r="J901" i="17"/>
  <c r="O901" i="17" s="1"/>
  <c r="K901" i="17"/>
  <c r="L901" i="17"/>
  <c r="M901" i="17" s="1"/>
  <c r="I902" i="17"/>
  <c r="N902" i="17" s="1"/>
  <c r="J902" i="17"/>
  <c r="O902" i="17" s="1"/>
  <c r="K902" i="17"/>
  <c r="L902" i="17"/>
  <c r="M902" i="17" s="1"/>
  <c r="I903" i="17"/>
  <c r="N903" i="17" s="1"/>
  <c r="J903" i="17"/>
  <c r="O903" i="17" s="1"/>
  <c r="K903" i="17"/>
  <c r="L903" i="17"/>
  <c r="I904" i="17"/>
  <c r="J904" i="17"/>
  <c r="O904" i="17" s="1"/>
  <c r="K904" i="17"/>
  <c r="L904" i="17"/>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K911" i="17"/>
  <c r="L911" i="17"/>
  <c r="M911" i="17" s="1"/>
  <c r="I912" i="17"/>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M917" i="17" s="1"/>
  <c r="I918" i="17"/>
  <c r="N918" i="17" s="1"/>
  <c r="J918" i="17"/>
  <c r="O918" i="17" s="1"/>
  <c r="K918" i="17"/>
  <c r="L918" i="17"/>
  <c r="M918" i="17" s="1"/>
  <c r="I919" i="17"/>
  <c r="J919" i="17"/>
  <c r="O919" i="17" s="1"/>
  <c r="K919" i="17"/>
  <c r="L919" i="17"/>
  <c r="M919" i="17" s="1"/>
  <c r="I920" i="17"/>
  <c r="N920" i="17" s="1"/>
  <c r="J920" i="17"/>
  <c r="K920" i="17"/>
  <c r="L920" i="17"/>
  <c r="M920" i="17" s="1"/>
  <c r="I921" i="17"/>
  <c r="N921" i="17" s="1"/>
  <c r="J921" i="17"/>
  <c r="O921" i="17" s="1"/>
  <c r="K921" i="17"/>
  <c r="L921" i="17"/>
  <c r="M921" i="17" s="1"/>
  <c r="I922" i="17"/>
  <c r="J922" i="17"/>
  <c r="O922" i="17" s="1"/>
  <c r="K922" i="17"/>
  <c r="L922" i="17"/>
  <c r="M922" i="17" s="1"/>
  <c r="I923" i="17"/>
  <c r="J923" i="17"/>
  <c r="O923" i="17" s="1"/>
  <c r="K923" i="17"/>
  <c r="L923" i="17"/>
  <c r="I924" i="17"/>
  <c r="N924" i="17" s="1"/>
  <c r="J924" i="17"/>
  <c r="O924" i="17" s="1"/>
  <c r="K924" i="17"/>
  <c r="L924" i="17"/>
  <c r="I925" i="17"/>
  <c r="J925" i="17"/>
  <c r="O925" i="17" s="1"/>
  <c r="K925" i="17"/>
  <c r="L925" i="17"/>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I941" i="17"/>
  <c r="N941" i="17" s="1"/>
  <c r="J941" i="17"/>
  <c r="O941" i="17" s="1"/>
  <c r="K941" i="17"/>
  <c r="L941" i="17"/>
  <c r="M941" i="17" s="1"/>
  <c r="I942" i="17"/>
  <c r="N942" i="17" s="1"/>
  <c r="J942" i="17"/>
  <c r="O942" i="17" s="1"/>
  <c r="K942" i="17"/>
  <c r="L942" i="17"/>
  <c r="M942" i="17" s="1"/>
  <c r="I943" i="17"/>
  <c r="N943" i="17" s="1"/>
  <c r="J943" i="17"/>
  <c r="O943" i="17" s="1"/>
  <c r="K943" i="17"/>
  <c r="L943" i="17"/>
  <c r="I944" i="17"/>
  <c r="J944" i="17"/>
  <c r="O944" i="17" s="1"/>
  <c r="K944" i="17"/>
  <c r="L944" i="17"/>
  <c r="M944" i="17" s="1"/>
  <c r="I945" i="17"/>
  <c r="N945" i="17" s="1"/>
  <c r="J945" i="17"/>
  <c r="O945" i="17" s="1"/>
  <c r="K945" i="17"/>
  <c r="L945" i="17"/>
  <c r="M945" i="17" s="1"/>
  <c r="I946" i="17"/>
  <c r="N946" i="17" s="1"/>
  <c r="J946" i="17"/>
  <c r="O946" i="17" s="1"/>
  <c r="K946" i="17"/>
  <c r="L946" i="17"/>
  <c r="M946" i="17" s="1"/>
  <c r="I947" i="17"/>
  <c r="J947" i="17"/>
  <c r="O947" i="17" s="1"/>
  <c r="K947" i="17"/>
  <c r="L947" i="17"/>
  <c r="I948" i="17"/>
  <c r="N948" i="17" s="1"/>
  <c r="J948" i="17"/>
  <c r="O948" i="17" s="1"/>
  <c r="K948" i="17"/>
  <c r="L948" i="17"/>
  <c r="I949" i="17"/>
  <c r="N949" i="17" s="1"/>
  <c r="J949" i="17"/>
  <c r="O949" i="17" s="1"/>
  <c r="K949" i="17"/>
  <c r="L949" i="17"/>
  <c r="M949" i="17" s="1"/>
  <c r="I950" i="17"/>
  <c r="N950" i="17" s="1"/>
  <c r="J950" i="17"/>
  <c r="O950" i="17" s="1"/>
  <c r="K950" i="17"/>
  <c r="L950" i="17"/>
  <c r="M950" i="17" s="1"/>
  <c r="I951" i="17"/>
  <c r="N951" i="17" s="1"/>
  <c r="J951" i="17"/>
  <c r="O951" i="17" s="1"/>
  <c r="K951" i="17"/>
  <c r="L951" i="17"/>
  <c r="I952" i="17"/>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I957" i="17"/>
  <c r="N957" i="17" s="1"/>
  <c r="J957" i="17"/>
  <c r="O957" i="17" s="1"/>
  <c r="K957" i="17"/>
  <c r="L957" i="17"/>
  <c r="M957" i="17" s="1"/>
  <c r="I958" i="17"/>
  <c r="N958" i="17" s="1"/>
  <c r="J958" i="17"/>
  <c r="O958" i="17" s="1"/>
  <c r="K958" i="17"/>
  <c r="L958" i="17"/>
  <c r="M958" i="17" s="1"/>
  <c r="I959" i="17"/>
  <c r="J959" i="17"/>
  <c r="O959" i="17" s="1"/>
  <c r="K959" i="17"/>
  <c r="L959" i="17"/>
  <c r="M959" i="17" s="1"/>
  <c r="I960" i="17"/>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I964" i="17"/>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J968" i="17"/>
  <c r="O968" i="17" s="1"/>
  <c r="K968" i="17"/>
  <c r="L968" i="17"/>
  <c r="I969" i="17"/>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I976" i="17"/>
  <c r="J976" i="17"/>
  <c r="K976" i="17"/>
  <c r="L976" i="17"/>
  <c r="I977" i="17"/>
  <c r="N977" i="17" s="1"/>
  <c r="J977" i="17"/>
  <c r="O977" i="17" s="1"/>
  <c r="K977" i="17"/>
  <c r="L977" i="17"/>
  <c r="M977" i="17" s="1"/>
  <c r="I978" i="17"/>
  <c r="N978" i="17" s="1"/>
  <c r="J978" i="17"/>
  <c r="O978" i="17" s="1"/>
  <c r="K978" i="17"/>
  <c r="L978" i="17"/>
  <c r="M978" i="17" s="1"/>
  <c r="I979" i="17"/>
  <c r="N979" i="17" s="1"/>
  <c r="J979" i="17"/>
  <c r="O979" i="17" s="1"/>
  <c r="K979" i="17"/>
  <c r="L979" i="17"/>
  <c r="I980" i="17"/>
  <c r="N980" i="17" s="1"/>
  <c r="J980" i="17"/>
  <c r="K980" i="17"/>
  <c r="L980" i="17"/>
  <c r="I981" i="17"/>
  <c r="N981" i="17" s="1"/>
  <c r="J981" i="17"/>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J993" i="17"/>
  <c r="O993" i="17" s="1"/>
  <c r="K993" i="17"/>
  <c r="L993" i="17"/>
  <c r="M993" i="17" s="1"/>
  <c r="I994" i="17"/>
  <c r="N994" i="17" s="1"/>
  <c r="J994" i="17"/>
  <c r="K994" i="17"/>
  <c r="L994" i="17"/>
  <c r="M994" i="17" s="1"/>
  <c r="I995" i="17"/>
  <c r="J995" i="17"/>
  <c r="O995" i="17" s="1"/>
  <c r="K995" i="17"/>
  <c r="L995" i="17"/>
  <c r="M995" i="17" s="1"/>
  <c r="I996" i="17"/>
  <c r="J996" i="17"/>
  <c r="O996" i="17" s="1"/>
  <c r="K996" i="17"/>
  <c r="L996" i="17"/>
  <c r="I997" i="17"/>
  <c r="N997" i="17" s="1"/>
  <c r="J997" i="17"/>
  <c r="O997" i="17" s="1"/>
  <c r="K997" i="17"/>
  <c r="L997" i="17"/>
  <c r="M997" i="17" s="1"/>
  <c r="I998" i="17"/>
  <c r="N998" i="17" s="1"/>
  <c r="J998" i="17"/>
  <c r="O998" i="17" s="1"/>
  <c r="K998" i="17"/>
  <c r="L998" i="17"/>
  <c r="M998" i="17" s="1"/>
  <c r="I999" i="17"/>
  <c r="N999" i="17" s="1"/>
  <c r="J999" i="17"/>
  <c r="O999" i="17" s="1"/>
  <c r="K999" i="17"/>
  <c r="L999" i="17"/>
  <c r="I1000" i="17"/>
  <c r="N1000" i="17" s="1"/>
  <c r="J1000" i="17"/>
  <c r="O1000" i="17" s="1"/>
  <c r="K1000" i="17"/>
  <c r="L1000" i="17"/>
  <c r="I1001" i="17"/>
  <c r="N1001" i="17" s="1"/>
  <c r="J1001" i="17"/>
  <c r="O1001" i="17" s="1"/>
  <c r="K1001" i="17"/>
  <c r="L1001" i="17"/>
  <c r="J2" i="17"/>
  <c r="O2" i="17" s="1"/>
  <c r="K2" i="17"/>
  <c r="L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<sst xmlns="http://schemas.openxmlformats.org/spreadsheetml/2006/main" count="11128" uniqueCount="6221">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</sst>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
    <numFmt numFmtId="168" formatCode="dd/mmm/yyyy"/>
    <numFmt numFmtId="170" formatCode="0.0&quot;kg&quot;"/>
    <numFmt numFmtId="171" formatCode="_-[$$-409]* #,##0.00_ ;_-[$$-409]* \-#,##0.00\ ;_-[$$-409]* &quot;-&quot;??_ ;_-@_ "/>
    <numFmt numFmtId="173" formatCode="[$$-409]#,##0"/>
  </numFmts>
  <fonts count="6"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
      <b/>
      <sz val="11"/>
      <color theme="1" tint="4.9989318521683403E-2"/>
      <name val="Calibri"/>
      <family val="2"/>
      <scheme val="minor"/>
    </font>
    <font>
      <b/>
      <sz val="11"/>
      <color theme="1" tint="0.34998626667073579"/>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6">
    <xf numFmtId="0" fontId="0" fillId="0" borderId="0" xfId="0"/>
    <xf numFmtId="164" fontId="0" fillId="0" borderId="0" xfId="0" applyNumberFormat="1"/>
    <xf numFmtId="0" fontId="1" fillId="0" borderId="0" xfId="0" applyFont="1" applyAlignment="1">
      <alignment vertical="center"/>
    </xf>
    <xf numFmtId="168" fontId="1" fillId="0" borderId="0" xfId="0" applyNumberFormat="1" applyFont="1" applyAlignment="1">
      <alignment vertical="center"/>
    </xf>
    <xf numFmtId="168" fontId="0" fillId="0" borderId="0" xfId="0" applyNumberFormat="1"/>
    <xf numFmtId="170" fontId="1" fillId="0" borderId="0" xfId="0" applyNumberFormat="1" applyFont="1" applyAlignment="1">
      <alignment vertical="center"/>
    </xf>
    <xf numFmtId="170" fontId="0" fillId="0" borderId="0" xfId="0" applyNumberFormat="1"/>
    <xf numFmtId="171" fontId="1" fillId="0" borderId="0" xfId="1" applyNumberFormat="1" applyFont="1" applyAlignment="1">
      <alignment vertical="center"/>
    </xf>
    <xf numFmtId="171" fontId="0" fillId="0" borderId="0" xfId="1" applyNumberFormat="1" applyFont="1"/>
    <xf numFmtId="0" fontId="0" fillId="0" borderId="0" xfId="0" pivotButton="1"/>
    <xf numFmtId="3" fontId="0" fillId="0" borderId="0" xfId="0" applyNumberFormat="1"/>
    <xf numFmtId="0" fontId="3" fillId="0" borderId="0" xfId="0" applyFont="1"/>
    <xf numFmtId="0" fontId="4" fillId="0" borderId="0" xfId="0" applyFont="1"/>
    <xf numFmtId="0" fontId="5" fillId="0" borderId="0" xfId="0" applyFont="1"/>
    <xf numFmtId="173" fontId="0" fillId="0" borderId="0" xfId="0" applyNumberFormat="1"/>
    <xf numFmtId="0" fontId="0" fillId="0" borderId="0" xfId="0" applyAlignment="1">
      <alignment horizontal="center" vertical="top"/>
    </xf>
  </cellXfs>
  <cellStyles count="2">
    <cellStyle name="Currency" xfId="1" builtinId="4"/>
    <cellStyle name="Normal" xfId="0" builtinId="0"/>
  </cellStyles>
  <dxfs count="79">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3" formatCode="#,##0"/>
    </dxf>
    <dxf>
      <numFmt numFmtId="173" formatCode="[$$-409]#,##0"/>
    </dxf>
    <dxf>
      <numFmt numFmtId="173" formatCode="[$$-409]#,##0"/>
    </dxf>
    <dxf>
      <numFmt numFmtId="3" formatCode="#,##0"/>
    </dxf>
    <dxf>
      <font>
        <b/>
        <i val="0"/>
        <color theme="0"/>
        <name val="Calibri"/>
        <family val="2"/>
        <scheme val="minor"/>
      </font>
    </dxf>
    <dxf>
      <font>
        <b val="0"/>
        <i val="0"/>
        <color theme="0"/>
        <name val="Calibri"/>
        <family val="2"/>
        <scheme val="minor"/>
      </font>
      <fill>
        <patternFill>
          <bgColor rgb="FF3C1464"/>
        </patternFill>
      </fill>
    </dxf>
    <dxf>
      <font>
        <b/>
        <strike val="0"/>
        <outline val="0"/>
        <shadow val="0"/>
        <u val="none"/>
        <vertAlign val="baseline"/>
        <sz val="11"/>
        <color theme="1" tint="0.34998626667073579"/>
        <name val="Calibri"/>
        <family val="2"/>
        <scheme val="minor"/>
      </font>
      <numFmt numFmtId="0" formatCode="General"/>
    </dxf>
    <dxf>
      <font>
        <b/>
        <i val="0"/>
        <sz val="11"/>
        <color theme="0"/>
        <name val="Calibri"/>
        <family val="2"/>
        <scheme val="minor"/>
      </font>
    </dxf>
    <dxf>
      <font>
        <b val="0"/>
        <i val="0"/>
        <sz val="10"/>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Calibri"/>
        <family val="2"/>
        <scheme val="minor"/>
      </font>
      <numFmt numFmtId="171" formatCode="_-[$$-409]* #,##0.00_ ;_-[$$-409]* \-#,##0.00\ ;_-[$$-409]* &quot;-&quot;??_ ;_-@_ "/>
    </dxf>
    <dxf>
      <font>
        <b val="0"/>
        <i val="0"/>
        <strike val="0"/>
        <condense val="0"/>
        <extend val="0"/>
        <outline val="0"/>
        <shadow val="0"/>
        <u val="none"/>
        <vertAlign val="baseline"/>
        <sz val="11"/>
        <color theme="1"/>
        <name val="Calibri"/>
        <family val="2"/>
        <scheme val="minor"/>
      </font>
      <numFmt numFmtId="171" formatCode="_-[$$-409]* #,##0.00_ ;_-[$$-409]* \-#,##0.00\ ;_-[$$-409]* &quot;-&quot;??_ ;_-@_ "/>
    </dxf>
    <dxf>
      <numFmt numFmtId="170"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83B22AEE-DE29-4C48-B0DC-EF5E5606B360}">
      <tableStyleElement type="wholeTable" dxfId="65"/>
      <tableStyleElement type="headerRow" dxfId="64"/>
    </tableStyle>
    <tableStyle name="Purple Timeline Style" pivot="0" table="0" count="8" xr9:uid="{CEDCDF5B-2ED4-4A89-A0D4-6B81EA10790C}">
      <tableStyleElement type="wholeTable" dxfId="68"/>
      <tableStyleElement type="headerRow" dxfId="67"/>
    </tableStyle>
  </tableStyles>
  <colors>
    <mruColors>
      <color rgb="FF3C1464"/>
      <color rgb="FF3F1569"/>
      <color rgb="FF334F15"/>
      <color rgb="FF3A5818"/>
      <color rgb="FFC6E6A2"/>
      <color rgb="FF70AB2F"/>
      <color rgb="FF619428"/>
      <color rgb="FF70AC2E"/>
      <color rgb="FF4B731F"/>
      <color rgb="FF9650DC"/>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8"/>
  </c:pivotSource>
  <c:chart>
    <c:title>
      <c:tx>
        <c:rich>
          <a:bodyPr rot="0" spcFirstLastPara="1" vertOverflow="ellipsis" vert="horz" wrap="square" anchor="ctr" anchorCtr="1"/>
          <a:lstStyle/>
          <a:p>
            <a:pPr>
              <a:defRPr sz="1400" b="0" i="0" u="none" strike="noStrike" kern="1200" spc="0" baseline="0">
                <a:solidFill>
                  <a:srgbClr val="3F1569"/>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F1569"/>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F571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F57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BF57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F156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C47-4760-AF41-BEE8E36AEDBF}"/>
            </c:ext>
          </c:extLst>
        </c:ser>
        <c:ser>
          <c:idx val="1"/>
          <c:order val="1"/>
          <c:tx>
            <c:strRef>
              <c:f>TotalSales!$D$3:$D$4</c:f>
              <c:strCache>
                <c:ptCount val="1"/>
                <c:pt idx="0">
                  <c:v>Excelsa</c:v>
                </c:pt>
              </c:strCache>
            </c:strRef>
          </c:tx>
          <c:spPr>
            <a:ln w="28575" cap="rnd">
              <a:solidFill>
                <a:srgbClr val="BF571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C47-4760-AF41-BEE8E36AEDBF}"/>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C47-4760-AF41-BEE8E36AEDBF}"/>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C47-4760-AF41-BEE8E36AEDBF}"/>
            </c:ext>
          </c:extLst>
        </c:ser>
        <c:dLbls>
          <c:showLegendKey val="0"/>
          <c:showVal val="0"/>
          <c:showCatName val="0"/>
          <c:showSerName val="0"/>
          <c:showPercent val="0"/>
          <c:showBubbleSize val="0"/>
        </c:dLbls>
        <c:smooth val="0"/>
        <c:axId val="871323551"/>
        <c:axId val="871319711"/>
      </c:lineChart>
      <c:catAx>
        <c:axId val="87132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F1569"/>
                </a:solidFill>
                <a:latin typeface="+mn-lt"/>
                <a:ea typeface="+mn-ea"/>
                <a:cs typeface="+mn-cs"/>
              </a:defRPr>
            </a:pPr>
            <a:endParaRPr lang="en-US"/>
          </a:p>
        </c:txPr>
        <c:crossAx val="871319711"/>
        <c:crosses val="autoZero"/>
        <c:auto val="1"/>
        <c:lblAlgn val="ctr"/>
        <c:lblOffset val="100"/>
        <c:noMultiLvlLbl val="0"/>
      </c:catAx>
      <c:valAx>
        <c:axId val="87131971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F1569"/>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F1569"/>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F1569"/>
                </a:solidFill>
                <a:latin typeface="+mn-lt"/>
                <a:ea typeface="+mn-ea"/>
                <a:cs typeface="+mn-cs"/>
              </a:defRPr>
            </a:pPr>
            <a:endParaRPr lang="en-US"/>
          </a:p>
        </c:txPr>
        <c:crossAx val="87132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F156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ABBEF"/>
    </a:solidFill>
    <a:ln w="9525" cap="flat" cmpd="sng" algn="ctr">
      <a:solidFill>
        <a:schemeClr val="tx1">
          <a:lumMod val="15000"/>
          <a:lumOff val="85000"/>
        </a:schemeClr>
      </a:solidFill>
      <a:round/>
    </a:ln>
    <a:effectLst/>
  </c:spPr>
  <c:txPr>
    <a:bodyPr/>
    <a:lstStyle/>
    <a:p>
      <a:pPr>
        <a:defRPr>
          <a:solidFill>
            <a:srgbClr val="3F156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4F15"/>
          </a:solidFill>
          <a:ln w="25400">
            <a:solidFill>
              <a:schemeClr val="bg1"/>
            </a:solidFill>
          </a:ln>
          <a:effectLst/>
        </c:spPr>
      </c:pivotFmt>
      <c:pivotFmt>
        <c:idx val="2"/>
        <c:spPr>
          <a:solidFill>
            <a:srgbClr val="70AB2F"/>
          </a:solidFill>
          <a:ln w="25400">
            <a:solidFill>
              <a:schemeClr val="bg1"/>
            </a:solidFill>
          </a:ln>
          <a:effectLst/>
        </c:spPr>
      </c:pivotFmt>
      <c:pivotFmt>
        <c:idx val="3"/>
        <c:spPr>
          <a:solidFill>
            <a:srgbClr val="C6E6A2"/>
          </a:solidFill>
          <a:ln w="25400">
            <a:solidFill>
              <a:schemeClr val="bg1"/>
            </a:solidFill>
          </a:ln>
          <a:effectLst/>
        </c:spPr>
      </c:pivotFmt>
      <c:pivotFmt>
        <c:idx val="4"/>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6E6A2"/>
          </a:solidFill>
          <a:ln w="25400">
            <a:solidFill>
              <a:schemeClr val="bg1"/>
            </a:solidFill>
          </a:ln>
          <a:effectLst/>
        </c:spPr>
      </c:pivotFmt>
      <c:pivotFmt>
        <c:idx val="6"/>
        <c:spPr>
          <a:solidFill>
            <a:srgbClr val="70AB2F"/>
          </a:solidFill>
          <a:ln w="25400">
            <a:solidFill>
              <a:schemeClr val="bg1"/>
            </a:solidFill>
          </a:ln>
          <a:effectLst/>
        </c:spPr>
      </c:pivotFmt>
      <c:pivotFmt>
        <c:idx val="7"/>
        <c:spPr>
          <a:solidFill>
            <a:srgbClr val="334F15"/>
          </a:solidFill>
          <a:ln w="25400">
            <a:solidFill>
              <a:schemeClr val="bg1"/>
            </a:solidFill>
          </a:ln>
          <a:effectLst/>
        </c:spPr>
      </c:pivotFmt>
      <c:pivotFmt>
        <c:idx val="8"/>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6E6A2"/>
          </a:solidFill>
          <a:ln w="25400">
            <a:solidFill>
              <a:schemeClr val="bg1"/>
            </a:solidFill>
          </a:ln>
          <a:effectLst/>
        </c:spPr>
      </c:pivotFmt>
      <c:pivotFmt>
        <c:idx val="10"/>
        <c:spPr>
          <a:solidFill>
            <a:srgbClr val="70AB2F"/>
          </a:solidFill>
          <a:ln w="25400">
            <a:solidFill>
              <a:schemeClr val="bg1"/>
            </a:solidFill>
          </a:ln>
          <a:effectLst/>
        </c:spPr>
      </c:pivotFmt>
      <c:pivotFmt>
        <c:idx val="11"/>
        <c:spPr>
          <a:solidFill>
            <a:srgbClr val="334F15"/>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92D050"/>
            </a:solidFill>
            <a:ln w="25400">
              <a:solidFill>
                <a:schemeClr val="bg1"/>
              </a:solidFill>
            </a:ln>
            <a:effectLst/>
          </c:spPr>
          <c:invertIfNegative val="0"/>
          <c:dPt>
            <c:idx val="0"/>
            <c:invertIfNegative val="0"/>
            <c:bubble3D val="0"/>
            <c:spPr>
              <a:solidFill>
                <a:srgbClr val="C6E6A2"/>
              </a:solidFill>
              <a:ln w="25400">
                <a:solidFill>
                  <a:schemeClr val="bg1"/>
                </a:solidFill>
              </a:ln>
              <a:effectLst/>
            </c:spPr>
            <c:extLst>
              <c:ext xmlns:c16="http://schemas.microsoft.com/office/drawing/2014/chart" uri="{C3380CC4-5D6E-409C-BE32-E72D297353CC}">
                <c16:uniqueId val="{00000001-4789-44F5-920B-3AE6831023ED}"/>
              </c:ext>
            </c:extLst>
          </c:dPt>
          <c:dPt>
            <c:idx val="1"/>
            <c:invertIfNegative val="0"/>
            <c:bubble3D val="0"/>
            <c:spPr>
              <a:solidFill>
                <a:srgbClr val="70AB2F"/>
              </a:solidFill>
              <a:ln w="25400">
                <a:solidFill>
                  <a:schemeClr val="bg1"/>
                </a:solidFill>
              </a:ln>
              <a:effectLst/>
            </c:spPr>
            <c:extLst>
              <c:ext xmlns:c16="http://schemas.microsoft.com/office/drawing/2014/chart" uri="{C3380CC4-5D6E-409C-BE32-E72D297353CC}">
                <c16:uniqueId val="{00000003-4789-44F5-920B-3AE6831023ED}"/>
              </c:ext>
            </c:extLst>
          </c:dPt>
          <c:dPt>
            <c:idx val="2"/>
            <c:invertIfNegative val="0"/>
            <c:bubble3D val="0"/>
            <c:spPr>
              <a:solidFill>
                <a:srgbClr val="334F15"/>
              </a:solidFill>
              <a:ln w="25400">
                <a:solidFill>
                  <a:schemeClr val="bg1"/>
                </a:solidFill>
              </a:ln>
              <a:effectLst/>
            </c:spPr>
            <c:extLst>
              <c:ext xmlns:c16="http://schemas.microsoft.com/office/drawing/2014/chart" uri="{C3380CC4-5D6E-409C-BE32-E72D297353CC}">
                <c16:uniqueId val="{00000005-4789-44F5-920B-3AE6831023ED}"/>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4789-44F5-920B-3AE6831023ED}"/>
            </c:ext>
          </c:extLst>
        </c:ser>
        <c:dLbls>
          <c:dLblPos val="outEnd"/>
          <c:showLegendKey val="0"/>
          <c:showVal val="1"/>
          <c:showCatName val="0"/>
          <c:showSerName val="0"/>
          <c:showPercent val="0"/>
          <c:showBubbleSize val="0"/>
        </c:dLbls>
        <c:gapWidth val="182"/>
        <c:axId val="647120847"/>
        <c:axId val="871339871"/>
      </c:barChart>
      <c:catAx>
        <c:axId val="64712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71339871"/>
        <c:crosses val="autoZero"/>
        <c:auto val="1"/>
        <c:lblAlgn val="ctr"/>
        <c:lblOffset val="100"/>
        <c:noMultiLvlLbl val="0"/>
      </c:catAx>
      <c:valAx>
        <c:axId val="871339871"/>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4712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ABB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4F15"/>
          </a:solidFill>
          <a:ln w="25400">
            <a:solidFill>
              <a:schemeClr val="bg1"/>
            </a:solidFill>
          </a:ln>
          <a:effectLst/>
        </c:spPr>
      </c:pivotFmt>
      <c:pivotFmt>
        <c:idx val="2"/>
        <c:spPr>
          <a:solidFill>
            <a:srgbClr val="70AB2F"/>
          </a:solidFill>
          <a:ln w="25400">
            <a:solidFill>
              <a:schemeClr val="bg1"/>
            </a:solidFill>
          </a:ln>
          <a:effectLst/>
        </c:spPr>
      </c:pivotFmt>
      <c:pivotFmt>
        <c:idx val="3"/>
        <c:spPr>
          <a:solidFill>
            <a:srgbClr val="C6E6A2"/>
          </a:solidFill>
          <a:ln w="25400">
            <a:solidFill>
              <a:schemeClr val="bg1"/>
            </a:solidFill>
          </a:ln>
          <a:effectLst/>
        </c:spPr>
      </c:pivotFmt>
      <c:pivotFmt>
        <c:idx val="4"/>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6E6A2"/>
          </a:solidFill>
          <a:ln w="25400">
            <a:solidFill>
              <a:schemeClr val="bg1"/>
            </a:solidFill>
          </a:ln>
          <a:effectLst/>
        </c:spPr>
      </c:pivotFmt>
      <c:pivotFmt>
        <c:idx val="6"/>
        <c:spPr>
          <a:solidFill>
            <a:srgbClr val="70AB2F"/>
          </a:solidFill>
          <a:ln w="25400">
            <a:solidFill>
              <a:schemeClr val="bg1"/>
            </a:solidFill>
          </a:ln>
          <a:effectLst/>
        </c:spPr>
      </c:pivotFmt>
      <c:pivotFmt>
        <c:idx val="7"/>
        <c:spPr>
          <a:solidFill>
            <a:srgbClr val="334F15"/>
          </a:solidFill>
          <a:ln w="25400">
            <a:solidFill>
              <a:schemeClr val="bg1"/>
            </a:solidFill>
          </a:ln>
          <a:effectLst/>
        </c:spPr>
      </c:pivotFmt>
      <c:pivotFmt>
        <c:idx val="8"/>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92D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0860-4517-A4D9-E34895279C11}"/>
              </c:ext>
            </c:extLst>
          </c:dPt>
          <c:dPt>
            <c:idx val="1"/>
            <c:invertIfNegative val="0"/>
            <c:bubble3D val="0"/>
            <c:extLst>
              <c:ext xmlns:c16="http://schemas.microsoft.com/office/drawing/2014/chart" uri="{C3380CC4-5D6E-409C-BE32-E72D297353CC}">
                <c16:uniqueId val="{00000001-0860-4517-A4D9-E34895279C11}"/>
              </c:ext>
            </c:extLst>
          </c:dPt>
          <c:dPt>
            <c:idx val="2"/>
            <c:invertIfNegative val="0"/>
            <c:bubble3D val="0"/>
            <c:extLst>
              <c:ext xmlns:c16="http://schemas.microsoft.com/office/drawing/2014/chart" uri="{C3380CC4-5D6E-409C-BE32-E72D297353CC}">
                <c16:uniqueId val="{00000002-0860-4517-A4D9-E34895279C11}"/>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0860-4517-A4D9-E34895279C11}"/>
            </c:ext>
          </c:extLst>
        </c:ser>
        <c:dLbls>
          <c:dLblPos val="outEnd"/>
          <c:showLegendKey val="0"/>
          <c:showVal val="1"/>
          <c:showCatName val="0"/>
          <c:showSerName val="0"/>
          <c:showPercent val="0"/>
          <c:showBubbleSize val="0"/>
        </c:dLbls>
        <c:gapWidth val="182"/>
        <c:axId val="647120847"/>
        <c:axId val="871339871"/>
      </c:barChart>
      <c:catAx>
        <c:axId val="64712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71339871"/>
        <c:crosses val="autoZero"/>
        <c:auto val="1"/>
        <c:lblAlgn val="ctr"/>
        <c:lblOffset val="100"/>
        <c:noMultiLvlLbl val="0"/>
      </c:catAx>
      <c:valAx>
        <c:axId val="871339871"/>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4712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ABB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0</xdr:row>
      <xdr:rowOff>45720</xdr:rowOff>
    </xdr:from>
    <xdr:to>
      <xdr:col>21</xdr:col>
      <xdr:colOff>0</xdr:colOff>
      <xdr:row>5</xdr:row>
      <xdr:rowOff>15240</xdr:rowOff>
    </xdr:to>
    <xdr:sp macro="" textlink="">
      <xdr:nvSpPr>
        <xdr:cNvPr id="4" name="Rectangle 3">
          <a:extLst>
            <a:ext uri="{FF2B5EF4-FFF2-40B4-BE49-F238E27FC236}">
              <a16:creationId xmlns:a16="http://schemas.microsoft.com/office/drawing/2014/main" id="{A7DF3346-0A18-3FC6-5A6F-B43C01D43AA7}"/>
            </a:ext>
          </a:extLst>
        </xdr:cNvPr>
        <xdr:cNvSpPr/>
      </xdr:nvSpPr>
      <xdr:spPr>
        <a:xfrm>
          <a:off x="129540" y="45720"/>
          <a:ext cx="12214860" cy="762000"/>
        </a:xfrm>
        <a:prstGeom prst="rect">
          <a:avLst/>
        </a:prstGeom>
        <a:solidFill>
          <a:srgbClr val="3C1464"/>
        </a:solidFill>
        <a:ln>
          <a:solidFill>
            <a:srgbClr val="3F15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COFFEE</a:t>
          </a:r>
          <a:r>
            <a:rPr lang="en-IN" sz="3600" baseline="0">
              <a:solidFill>
                <a:schemeClr val="bg1"/>
              </a:solidFill>
            </a:rPr>
            <a:t> SALES DASHBOARD</a:t>
          </a:r>
          <a:endParaRPr lang="en-IN" sz="3600">
            <a:solidFill>
              <a:schemeClr val="bg1"/>
            </a:solidFill>
          </a:endParaRPr>
        </a:p>
      </xdr:txBody>
    </xdr:sp>
    <xdr:clientData/>
  </xdr:twoCellAnchor>
  <xdr:twoCellAnchor>
    <xdr:from>
      <xdr:col>0</xdr:col>
      <xdr:colOff>123824</xdr:colOff>
      <xdr:row>17</xdr:row>
      <xdr:rowOff>0</xdr:rowOff>
    </xdr:from>
    <xdr:to>
      <xdr:col>12</xdr:col>
      <xdr:colOff>409574</xdr:colOff>
      <xdr:row>33</xdr:row>
      <xdr:rowOff>156210</xdr:rowOff>
    </xdr:to>
    <xdr:graphicFrame macro="">
      <xdr:nvGraphicFramePr>
        <xdr:cNvPr id="6" name="Chart 5">
          <a:extLst>
            <a:ext uri="{FF2B5EF4-FFF2-40B4-BE49-F238E27FC236}">
              <a16:creationId xmlns:a16="http://schemas.microsoft.com/office/drawing/2014/main" id="{42B20DDD-0E95-4A21-8471-66FE9A51E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19050</xdr:colOff>
      <xdr:row>6</xdr:row>
      <xdr:rowOff>7619</xdr:rowOff>
    </xdr:from>
    <xdr:to>
      <xdr:col>14</xdr:col>
      <xdr:colOff>0</xdr:colOff>
      <xdr:row>16</xdr:row>
      <xdr:rowOff>104775</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C9647C5E-563C-47D3-BB07-B610F68AE5F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7583" y="905086"/>
              <a:ext cx="7905750" cy="16296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0</xdr:colOff>
      <xdr:row>10</xdr:row>
      <xdr:rowOff>0</xdr:rowOff>
    </xdr:from>
    <xdr:to>
      <xdr:col>17</xdr:col>
      <xdr:colOff>525357</xdr:colOff>
      <xdr:row>16</xdr:row>
      <xdr:rowOff>114299</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152088B0-ACB7-4A12-A1EF-29F6F9D8EFA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153400" y="1634067"/>
              <a:ext cx="1820757" cy="910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7621</xdr:colOff>
      <xdr:row>6</xdr:row>
      <xdr:rowOff>9313</xdr:rowOff>
    </xdr:from>
    <xdr:to>
      <xdr:col>21</xdr:col>
      <xdr:colOff>0</xdr:colOff>
      <xdr:row>9</xdr:row>
      <xdr:rowOff>91440</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1282FC09-FED9-49AB-9B7B-DBFE39EC0BC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161021" y="906780"/>
              <a:ext cx="3683846" cy="640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10</xdr:row>
      <xdr:rowOff>1</xdr:rowOff>
    </xdr:from>
    <xdr:to>
      <xdr:col>21</xdr:col>
      <xdr:colOff>28575</xdr:colOff>
      <xdr:row>16</xdr:row>
      <xdr:rowOff>104775</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AD70BBD8-4D62-4238-9511-38137084455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058400" y="1634068"/>
              <a:ext cx="1815042" cy="90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504825</xdr:colOff>
      <xdr:row>17</xdr:row>
      <xdr:rowOff>0</xdr:rowOff>
    </xdr:from>
    <xdr:to>
      <xdr:col>21</xdr:col>
      <xdr:colOff>1</xdr:colOff>
      <xdr:row>25</xdr:row>
      <xdr:rowOff>41638</xdr:rowOff>
    </xdr:to>
    <xdr:graphicFrame macro="">
      <xdr:nvGraphicFramePr>
        <xdr:cNvPr id="11" name="Chart 10">
          <a:extLst>
            <a:ext uri="{FF2B5EF4-FFF2-40B4-BE49-F238E27FC236}">
              <a16:creationId xmlns:a16="http://schemas.microsoft.com/office/drawing/2014/main" id="{9793D8CE-6800-402B-8958-1325F7970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504825</xdr:colOff>
      <xdr:row>25</xdr:row>
      <xdr:rowOff>126153</xdr:rowOff>
    </xdr:from>
    <xdr:to>
      <xdr:col>21</xdr:col>
      <xdr:colOff>0</xdr:colOff>
      <xdr:row>34</xdr:row>
      <xdr:rowOff>0</xdr:rowOff>
    </xdr:to>
    <xdr:graphicFrame macro="">
      <xdr:nvGraphicFramePr>
        <xdr:cNvPr id="12" name="Chart 11">
          <a:extLst>
            <a:ext uri="{FF2B5EF4-FFF2-40B4-BE49-F238E27FC236}">
              <a16:creationId xmlns:a16="http://schemas.microsoft.com/office/drawing/2014/main" id="{25A96FA2-BA36-446F-B045-A0C614014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ILESH UBALE" refreshedDate="46197.532317708334" createdVersion="8" refreshedVersion="8" minRefreshableVersion="3" recordCount="1000" xr:uid="{27F70577-211A-40FE-A1B7-C1181B5A5ACD}">
  <cacheSource type="worksheet">
    <worksheetSource name="Orders"/>
  </cacheSource>
  <cacheFields count="18">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70">
      <sharedItems containsSemiMixedTypes="0" containsString="0" containsNumber="1" minValue="0.2" maxValue="2.5" count="4">
        <n v="1"/>
        <n v="0.5"/>
        <n v="2.5"/>
        <n v="0.2"/>
      </sharedItems>
    </cacheField>
    <cacheField name="Unit Price" numFmtId="171">
      <sharedItems containsSemiMixedTypes="0" containsString="0" containsNumber="1" minValue="2.6849999999999996" maxValue="36.454999999999998"/>
    </cacheField>
    <cacheField name="Sales" numFmtId="171">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68966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2BC1E3-B953-42AF-BE8B-E73DB214F6E2}"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8"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70" outline="0" showAll="0" defaultSubtotal="0">
      <items count="4">
        <item x="3"/>
        <item x="1"/>
        <item x="0"/>
        <item x="2"/>
      </items>
    </pivotField>
    <pivotField compact="0" numFmtId="171" outline="0" showAll="0" defaultSubtotal="0"/>
    <pivotField dataField="1" compact="0" numFmtId="171"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5" numFmtId="3"/>
  </dataFields>
  <chartFormats count="4">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07BB00-FBFB-4CE6-B5E8-4D4F4B1843A9}"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8"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70"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3"/>
  </dataFields>
  <formats count="2">
    <format dxfId="63">
      <pivotArea dataOnly="0" labelOnly="1" outline="0" axis="axisValues" fieldPosition="0"/>
    </format>
    <format dxfId="62">
      <pivotArea outline="0" fieldPosition="0">
        <references count="1">
          <reference field="4294967294" count="1">
            <x v="0"/>
          </reference>
        </references>
      </pivotArea>
    </format>
  </formats>
  <chartFormats count="4">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1"/>
          </reference>
        </references>
      </pivotArea>
    </chartFormat>
    <chartFormat chart="14" format="10">
      <pivotArea type="data" outline="0" fieldPosition="0">
        <references count="2">
          <reference field="4294967294" count="1" selected="0">
            <x v="0"/>
          </reference>
          <reference field="7" count="1" selected="0">
            <x v="0"/>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5C48B3-6C67-405D-9512-EC7649C871C4}"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8"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70"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3"/>
  </dataFields>
  <formats count="2">
    <format dxfId="60">
      <pivotArea dataOnly="0" labelOnly="1" outline="0" axis="axisValues" fieldPosition="0"/>
    </format>
    <format dxfId="61">
      <pivotArea outline="0" fieldPosition="0">
        <references count="1">
          <reference field="4294967294" count="1">
            <x v="0"/>
          </reference>
        </references>
      </pivotArea>
    </format>
  </formats>
  <chartFormats count="3">
    <chartFormat chart="6"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4003AF4-307C-4CD8-B4C0-DFDB2AA334FE}" sourceName="Size">
  <pivotTables>
    <pivotTable tabId="18" name="TotalSales"/>
    <pivotTable tabId="19" name="TotalSales"/>
    <pivotTable tabId="20" name="TotalSales"/>
  </pivotTables>
  <data>
    <tabular pivotCacheId="116896664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5A79C77-C6D6-4FE1-90F4-D5D8CAADA5DA}" sourceName="Roast Type Name">
  <pivotTables>
    <pivotTable tabId="18" name="TotalSales"/>
    <pivotTable tabId="19" name="TotalSales"/>
    <pivotTable tabId="20" name="TotalSales"/>
  </pivotTables>
  <data>
    <tabular pivotCacheId="116896664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3F18B20-5529-4227-A310-19EB68A584DC}" sourceName="Loyalty Card">
  <pivotTables>
    <pivotTable tabId="18" name="TotalSales"/>
    <pivotTable tabId="19" name="TotalSales"/>
    <pivotTable tabId="20" name="TotalSales"/>
  </pivotTables>
  <data>
    <tabular pivotCacheId="11689666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8467122-680C-4E85-9A12-9C6528514FC8}" cache="Slicer_Size" caption="Size" columnCount="2" rowHeight="234950"/>
  <slicer name="Roast Type Name" xr10:uid="{86729A86-C07A-4B39-B56F-FC07375A068A}" cache="Slicer_Roast_Type_Name" caption="Roast Type Name" columnCount="3" rowHeight="234950"/>
  <slicer name="Loyalty Card" xr10:uid="{E0596C38-8DE0-4EA7-BA23-F5F161FF8232}"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418869-0078-4649-B177-2D24574E801A}" name="Orders" displayName="Orders" ref="A1:P1001" totalsRowShown="0">
  <autoFilter ref="A1:P1001" xr:uid="{0A418869-0078-4649-B177-2D24574E801A}"/>
  <tableColumns count="16">
    <tableColumn id="1" xr3:uid="{31FDEADD-DB31-467E-BB69-08D3609468CF}" name="Order ID" dataDxfId="78"/>
    <tableColumn id="2" xr3:uid="{C0A74791-95FC-49D9-8940-F1D90B4CDA73}" name="Order Date" dataDxfId="77"/>
    <tableColumn id="3" xr3:uid="{B3FA15BE-E13C-4DDF-A7AE-11EA2F18407D}" name="Customer ID" dataDxfId="76"/>
    <tableColumn id="4" xr3:uid="{58530A6F-D32C-4C27-8759-E8C223327484}" name="Product ID"/>
    <tableColumn id="5" xr3:uid="{AB57B6C8-74E9-4123-92A0-47565B43656A}" name="Quantity" dataDxfId="75"/>
    <tableColumn id="6" xr3:uid="{568CAFBB-0363-4B4F-93F3-F4CE5234F0F3}" name="Customer Name" dataDxfId="74">
      <calculatedColumnFormula>_xlfn.XLOOKUP(orders!C2,customers!$A$1:$A$1001,customers!$B$1:$B$1001,,0)</calculatedColumnFormula>
    </tableColumn>
    <tableColumn id="7" xr3:uid="{211CB9E1-A3AF-4811-9B72-DD5B0D7702A6}" name="Email" dataDxfId="73">
      <calculatedColumnFormula>IF(_xlfn.XLOOKUP(C2,customers!$A$1:$A$1001,customers!$C$1:$C$1001,,0)=0,"",_xlfn.XLOOKUP(C2,customers!$A$1:$A$1001,customers!$C$1:$C$1001,,0))</calculatedColumnFormula>
    </tableColumn>
    <tableColumn id="8" xr3:uid="{0B8F70F6-F030-4EB7-8B8A-EF6E8AB8D2B7}" name="Country" dataDxfId="72">
      <calculatedColumnFormula>_xlfn.XLOOKUP(C2,customers!$A$1:$A$1001,customers!$G$1:$G$1001,,0)</calculatedColumnFormula>
    </tableColumn>
    <tableColumn id="9" xr3:uid="{77A8E45F-6BD0-4E4F-9659-9E5159BA055D}" name="Coffee Type">
      <calculatedColumnFormula>INDEX(products!$A$1:$G$49,MATCH(orders!$D2,products!$A$1:$A$49,0),MATCH(orders!I$1,products!$A$1:$G$1,0))</calculatedColumnFormula>
    </tableColumn>
    <tableColumn id="10" xr3:uid="{2B14C1F9-A58E-4F59-8C59-71963A8EB4A5}" name="Roast Type">
      <calculatedColumnFormula>INDEX(products!$A$1:$G$49,MATCH(orders!$D2,products!$A$1:$A$49,0),MATCH(orders!J$1,products!$A$1:$G$1,0))</calculatedColumnFormula>
    </tableColumn>
    <tableColumn id="11" xr3:uid="{AAF919F6-8EEB-4A0D-AFA4-8A2D774953EA}" name="Size" dataDxfId="71">
      <calculatedColumnFormula>INDEX(products!$A$1:$G$49,MATCH(orders!$D2,products!$A$1:$A$49,0),MATCH(orders!K$1,products!$A$1:$G$1,0))</calculatedColumnFormula>
    </tableColumn>
    <tableColumn id="12" xr3:uid="{AE76B725-2EAF-42C9-B149-40FD7F3C4233}" name="Unit Price" dataDxfId="70" dataCellStyle="Currency">
      <calculatedColumnFormula>INDEX(products!$A$1:$G$49,MATCH(orders!$D2,products!$A$1:$A$49,0),MATCH(orders!L$1,products!$A$1:$G$1,0))</calculatedColumnFormula>
    </tableColumn>
    <tableColumn id="13" xr3:uid="{B78C3364-6775-46E4-BF39-5F5BBAC22996}" name="Sales" dataDxfId="69" dataCellStyle="Currency">
      <calculatedColumnFormula>L2*E2</calculatedColumnFormula>
    </tableColumn>
    <tableColumn id="14" xr3:uid="{CE36E8B4-3808-47FF-A8B7-23EE036F3768}" name="Coffee Type Name">
      <calculatedColumnFormula>IF(I2="Rob","Robusta",IF(I2="Exc","Excelsa",IF(I2="Ara","Arabica",IF(I2="Lib","Liberica",""))))</calculatedColumnFormula>
    </tableColumn>
    <tableColumn id="15" xr3:uid="{AB8E896F-E8D4-4916-A997-A308AB4DF463}" name="Roast Type Name">
      <calculatedColumnFormula>IF(J2="M","Medium",IF(J2="L","Light",IF(J2="D","Dark","")))</calculatedColumnFormula>
    </tableColumn>
    <tableColumn id="16" xr3:uid="{6C0EA396-FF52-4F2C-82ED-C5E69F7AF8F1}" name="Loyalty Card" dataDxfId="66">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1BFC158-C64B-4F26-AE69-3916232D2248}" sourceName="Order Date">
  <pivotTables>
    <pivotTable tabId="18" name="TotalSales"/>
    <pivotTable tabId="19" name="TotalSales"/>
    <pivotTable tabId="20" name="TotalSales"/>
  </pivotTables>
  <state minimalRefreshVersion="6" lastRefreshVersion="6" pivotCacheId="116896664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8D34C76-BA27-4037-B17E-C69F39AC1575}" cache="NativeTimeline_Order_Date" caption="Order Date" level="2" selectionLevel="2" scrollPosition="2019-04-11T00:00:00" style="Purple Timeline Style"/>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3D88FDF-5404-481C-935A-E8EB1D7D5D60}">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604E4312-294B-4D1F-848B-35F0785145E3}">
  <we:reference id="wa200005502" version="1.0.0.12" store="en-US"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EE442-D802-4856-B82D-88150AD4EBE8}">
  <dimension ref="A3:F48"/>
  <sheetViews>
    <sheetView zoomScale="90" zoomScaleNormal="90" workbookViewId="0">
      <selection activeCell="S13" sqref="S13"/>
    </sheetView>
  </sheetViews>
  <sheetFormatPr defaultRowHeight="14.4" x14ac:dyDescent="0.3"/>
  <cols>
    <col min="1" max="1" width="9.109375" customWidth="1"/>
    <col min="2" max="2" width="22.21875" bestFit="1" customWidth="1"/>
    <col min="3" max="3" width="19.77734375" bestFit="1" customWidth="1"/>
    <col min="4" max="4" width="7.44140625" bestFit="1" customWidth="1"/>
    <col min="5" max="5" width="7.77734375" bestFit="1" customWidth="1"/>
    <col min="6" max="6" width="8.21875" bestFit="1" customWidth="1"/>
  </cols>
  <sheetData>
    <row r="3" spans="1:6" x14ac:dyDescent="0.3">
      <c r="A3" s="9" t="s">
        <v>6220</v>
      </c>
      <c r="C3" s="9" t="s">
        <v>6196</v>
      </c>
    </row>
    <row r="4" spans="1:6" x14ac:dyDescent="0.3">
      <c r="A4" s="9" t="s">
        <v>6214</v>
      </c>
      <c r="B4" s="9" t="s">
        <v>6215</v>
      </c>
      <c r="C4" t="s">
        <v>6216</v>
      </c>
      <c r="D4" t="s">
        <v>6217</v>
      </c>
      <c r="E4" t="s">
        <v>6218</v>
      </c>
      <c r="F4" t="s">
        <v>6219</v>
      </c>
    </row>
    <row r="5" spans="1:6" x14ac:dyDescent="0.3">
      <c r="A5" t="s">
        <v>6198</v>
      </c>
      <c r="B5" t="s">
        <v>6202</v>
      </c>
      <c r="C5" s="10">
        <v>186.85499999999999</v>
      </c>
      <c r="D5" s="10">
        <v>305.97000000000003</v>
      </c>
      <c r="E5" s="10">
        <v>213.15999999999997</v>
      </c>
      <c r="F5" s="10">
        <v>123</v>
      </c>
    </row>
    <row r="6" spans="1:6" x14ac:dyDescent="0.3">
      <c r="B6" t="s">
        <v>6203</v>
      </c>
      <c r="C6" s="10">
        <v>251.96499999999997</v>
      </c>
      <c r="D6" s="10">
        <v>129.46</v>
      </c>
      <c r="E6" s="10">
        <v>434.03999999999996</v>
      </c>
      <c r="F6" s="10">
        <v>171.93999999999997</v>
      </c>
    </row>
    <row r="7" spans="1:6" x14ac:dyDescent="0.3">
      <c r="B7" t="s">
        <v>6204</v>
      </c>
      <c r="C7" s="10">
        <v>224.94499999999999</v>
      </c>
      <c r="D7" s="10">
        <v>349.12</v>
      </c>
      <c r="E7" s="10">
        <v>321.04000000000002</v>
      </c>
      <c r="F7" s="10">
        <v>126.035</v>
      </c>
    </row>
    <row r="8" spans="1:6" x14ac:dyDescent="0.3">
      <c r="B8" t="s">
        <v>6205</v>
      </c>
      <c r="C8" s="10">
        <v>307.12</v>
      </c>
      <c r="D8" s="10">
        <v>681.07499999999993</v>
      </c>
      <c r="E8" s="10">
        <v>533.70499999999993</v>
      </c>
      <c r="F8" s="10">
        <v>158.85</v>
      </c>
    </row>
    <row r="9" spans="1:6" x14ac:dyDescent="0.3">
      <c r="B9" t="s">
        <v>6206</v>
      </c>
      <c r="C9" s="10">
        <v>53.664999999999992</v>
      </c>
      <c r="D9" s="10">
        <v>83.025000000000006</v>
      </c>
      <c r="E9" s="10">
        <v>193.83499999999998</v>
      </c>
      <c r="F9" s="10">
        <v>68.039999999999992</v>
      </c>
    </row>
    <row r="10" spans="1:6" x14ac:dyDescent="0.3">
      <c r="B10" t="s">
        <v>6207</v>
      </c>
      <c r="C10" s="10">
        <v>163.01999999999998</v>
      </c>
      <c r="D10" s="10">
        <v>678.3599999999999</v>
      </c>
      <c r="E10" s="10">
        <v>171.04500000000002</v>
      </c>
      <c r="F10" s="10">
        <v>372.255</v>
      </c>
    </row>
    <row r="11" spans="1:6" x14ac:dyDescent="0.3">
      <c r="B11" t="s">
        <v>6208</v>
      </c>
      <c r="C11" s="10">
        <v>345.02</v>
      </c>
      <c r="D11" s="10">
        <v>273.86999999999995</v>
      </c>
      <c r="E11" s="10">
        <v>184.12999999999997</v>
      </c>
      <c r="F11" s="10">
        <v>201.11499999999998</v>
      </c>
    </row>
    <row r="12" spans="1:6" x14ac:dyDescent="0.3">
      <c r="B12" t="s">
        <v>6209</v>
      </c>
      <c r="C12" s="10">
        <v>334.89</v>
      </c>
      <c r="D12" s="10">
        <v>70.95</v>
      </c>
      <c r="E12" s="10">
        <v>134.23000000000002</v>
      </c>
      <c r="F12" s="10">
        <v>166.27499999999998</v>
      </c>
    </row>
    <row r="13" spans="1:6" x14ac:dyDescent="0.3">
      <c r="B13" t="s">
        <v>6210</v>
      </c>
      <c r="C13" s="10">
        <v>178.70999999999998</v>
      </c>
      <c r="D13" s="10">
        <v>166.1</v>
      </c>
      <c r="E13" s="10">
        <v>439.30999999999995</v>
      </c>
      <c r="F13" s="10">
        <v>492.9</v>
      </c>
    </row>
    <row r="14" spans="1:6" x14ac:dyDescent="0.3">
      <c r="B14" t="s">
        <v>6211</v>
      </c>
      <c r="C14" s="10">
        <v>301.98500000000001</v>
      </c>
      <c r="D14" s="10">
        <v>153.76499999999999</v>
      </c>
      <c r="E14" s="10">
        <v>215.55499999999998</v>
      </c>
      <c r="F14" s="10">
        <v>213.66499999999999</v>
      </c>
    </row>
    <row r="15" spans="1:6" x14ac:dyDescent="0.3">
      <c r="B15" t="s">
        <v>6212</v>
      </c>
      <c r="C15" s="10">
        <v>312.83499999999998</v>
      </c>
      <c r="D15" s="10">
        <v>63.249999999999993</v>
      </c>
      <c r="E15" s="10">
        <v>350.89500000000004</v>
      </c>
      <c r="F15" s="10">
        <v>96.405000000000001</v>
      </c>
    </row>
    <row r="16" spans="1:6" x14ac:dyDescent="0.3">
      <c r="B16" t="s">
        <v>6213</v>
      </c>
      <c r="C16" s="10">
        <v>265.62</v>
      </c>
      <c r="D16" s="10">
        <v>526.51499999999987</v>
      </c>
      <c r="E16" s="10">
        <v>187.06</v>
      </c>
      <c r="F16" s="10">
        <v>210.58999999999997</v>
      </c>
    </row>
    <row r="17" spans="1:6" x14ac:dyDescent="0.3">
      <c r="A17" t="s">
        <v>6199</v>
      </c>
      <c r="B17" t="s">
        <v>6202</v>
      </c>
      <c r="C17" s="10">
        <v>47.25</v>
      </c>
      <c r="D17" s="10">
        <v>65.805000000000007</v>
      </c>
      <c r="E17" s="10">
        <v>274.67500000000001</v>
      </c>
      <c r="F17" s="10">
        <v>179.22</v>
      </c>
    </row>
    <row r="18" spans="1:6" x14ac:dyDescent="0.3">
      <c r="B18" t="s">
        <v>6203</v>
      </c>
      <c r="C18" s="10">
        <v>745.44999999999993</v>
      </c>
      <c r="D18" s="10">
        <v>428.88499999999999</v>
      </c>
      <c r="E18" s="10">
        <v>194.17499999999998</v>
      </c>
      <c r="F18" s="10">
        <v>429.82999999999993</v>
      </c>
    </row>
    <row r="19" spans="1:6" x14ac:dyDescent="0.3">
      <c r="B19" t="s">
        <v>6204</v>
      </c>
      <c r="C19" s="10">
        <v>130.47</v>
      </c>
      <c r="D19" s="10">
        <v>271.48500000000001</v>
      </c>
      <c r="E19" s="10">
        <v>281.20499999999998</v>
      </c>
      <c r="F19" s="10">
        <v>231.63000000000002</v>
      </c>
    </row>
    <row r="20" spans="1:6" x14ac:dyDescent="0.3">
      <c r="B20" t="s">
        <v>6205</v>
      </c>
      <c r="C20" s="10">
        <v>27</v>
      </c>
      <c r="D20" s="10">
        <v>347.26</v>
      </c>
      <c r="E20" s="10">
        <v>147.51</v>
      </c>
      <c r="F20" s="10">
        <v>240.04</v>
      </c>
    </row>
    <row r="21" spans="1:6" x14ac:dyDescent="0.3">
      <c r="B21" t="s">
        <v>6206</v>
      </c>
      <c r="C21" s="10">
        <v>255.11499999999995</v>
      </c>
      <c r="D21" s="10">
        <v>541.73</v>
      </c>
      <c r="E21" s="10">
        <v>83.43</v>
      </c>
      <c r="F21" s="10">
        <v>59.079999999999991</v>
      </c>
    </row>
    <row r="22" spans="1:6" x14ac:dyDescent="0.3">
      <c r="B22" t="s">
        <v>6207</v>
      </c>
      <c r="C22" s="10">
        <v>584.78999999999985</v>
      </c>
      <c r="D22" s="10">
        <v>357.42999999999995</v>
      </c>
      <c r="E22" s="10">
        <v>355.34</v>
      </c>
      <c r="F22" s="10">
        <v>140.88</v>
      </c>
    </row>
    <row r="23" spans="1:6" x14ac:dyDescent="0.3">
      <c r="B23" t="s">
        <v>6208</v>
      </c>
      <c r="C23" s="10">
        <v>430.62</v>
      </c>
      <c r="D23" s="10">
        <v>227.42500000000001</v>
      </c>
      <c r="E23" s="10">
        <v>236.315</v>
      </c>
      <c r="F23" s="10">
        <v>414.58499999999992</v>
      </c>
    </row>
    <row r="24" spans="1:6" x14ac:dyDescent="0.3">
      <c r="B24" t="s">
        <v>6209</v>
      </c>
      <c r="C24" s="10">
        <v>22.5</v>
      </c>
      <c r="D24" s="10">
        <v>77.72</v>
      </c>
      <c r="E24" s="10">
        <v>60.5</v>
      </c>
      <c r="F24" s="10">
        <v>139.67999999999998</v>
      </c>
    </row>
    <row r="25" spans="1:6" x14ac:dyDescent="0.3">
      <c r="B25" t="s">
        <v>6210</v>
      </c>
      <c r="C25" s="10">
        <v>126.14999999999999</v>
      </c>
      <c r="D25" s="10">
        <v>195.11</v>
      </c>
      <c r="E25" s="10">
        <v>89.13</v>
      </c>
      <c r="F25" s="10">
        <v>302.65999999999997</v>
      </c>
    </row>
    <row r="26" spans="1:6" x14ac:dyDescent="0.3">
      <c r="B26" t="s">
        <v>6211</v>
      </c>
      <c r="C26" s="10">
        <v>376.03</v>
      </c>
      <c r="D26" s="10">
        <v>523.24</v>
      </c>
      <c r="E26" s="10">
        <v>440.96499999999997</v>
      </c>
      <c r="F26" s="10">
        <v>174.46999999999997</v>
      </c>
    </row>
    <row r="27" spans="1:6" x14ac:dyDescent="0.3">
      <c r="B27" t="s">
        <v>6212</v>
      </c>
      <c r="C27" s="10">
        <v>515.17999999999995</v>
      </c>
      <c r="D27" s="10">
        <v>142.56</v>
      </c>
      <c r="E27" s="10">
        <v>347.03999999999996</v>
      </c>
      <c r="F27" s="10">
        <v>104.08499999999999</v>
      </c>
    </row>
    <row r="28" spans="1:6" x14ac:dyDescent="0.3">
      <c r="B28" t="s">
        <v>6213</v>
      </c>
      <c r="C28" s="10">
        <v>95.859999999999985</v>
      </c>
      <c r="D28" s="10">
        <v>484.76</v>
      </c>
      <c r="E28" s="10">
        <v>94.17</v>
      </c>
      <c r="F28" s="10">
        <v>77.10499999999999</v>
      </c>
    </row>
    <row r="29" spans="1:6" x14ac:dyDescent="0.3">
      <c r="A29" t="s">
        <v>6200</v>
      </c>
      <c r="B29" t="s">
        <v>6202</v>
      </c>
      <c r="C29" s="10">
        <v>258.34500000000003</v>
      </c>
      <c r="D29" s="10">
        <v>139.625</v>
      </c>
      <c r="E29" s="10">
        <v>279.52000000000004</v>
      </c>
      <c r="F29" s="10">
        <v>160.19499999999999</v>
      </c>
    </row>
    <row r="30" spans="1:6" x14ac:dyDescent="0.3">
      <c r="B30" t="s">
        <v>6203</v>
      </c>
      <c r="C30" s="10">
        <v>342.2</v>
      </c>
      <c r="D30" s="10">
        <v>284.24999999999994</v>
      </c>
      <c r="E30" s="10">
        <v>251.83</v>
      </c>
      <c r="F30" s="10">
        <v>80.550000000000011</v>
      </c>
    </row>
    <row r="31" spans="1:6" x14ac:dyDescent="0.3">
      <c r="B31" t="s">
        <v>6204</v>
      </c>
      <c r="C31" s="10">
        <v>418.30499999999989</v>
      </c>
      <c r="D31" s="10">
        <v>468.125</v>
      </c>
      <c r="E31" s="10">
        <v>405.05500000000006</v>
      </c>
      <c r="F31" s="10">
        <v>253.15499999999997</v>
      </c>
    </row>
    <row r="32" spans="1:6" x14ac:dyDescent="0.3">
      <c r="B32" t="s">
        <v>6205</v>
      </c>
      <c r="C32" s="10">
        <v>102.32999999999998</v>
      </c>
      <c r="D32" s="10">
        <v>242.14000000000001</v>
      </c>
      <c r="E32" s="10">
        <v>554.875</v>
      </c>
      <c r="F32" s="10">
        <v>106.23999999999998</v>
      </c>
    </row>
    <row r="33" spans="1:6" x14ac:dyDescent="0.3">
      <c r="B33" t="s">
        <v>6206</v>
      </c>
      <c r="C33" s="10">
        <v>234.71999999999997</v>
      </c>
      <c r="D33" s="10">
        <v>133.08000000000001</v>
      </c>
      <c r="E33" s="10">
        <v>267.2</v>
      </c>
      <c r="F33" s="10">
        <v>272.68999999999994</v>
      </c>
    </row>
    <row r="34" spans="1:6" x14ac:dyDescent="0.3">
      <c r="B34" t="s">
        <v>6207</v>
      </c>
      <c r="C34" s="10">
        <v>430.39</v>
      </c>
      <c r="D34" s="10">
        <v>136.20500000000001</v>
      </c>
      <c r="E34" s="10">
        <v>209.6</v>
      </c>
      <c r="F34" s="10">
        <v>88.334999999999994</v>
      </c>
    </row>
    <row r="35" spans="1:6" x14ac:dyDescent="0.3">
      <c r="B35" t="s">
        <v>6208</v>
      </c>
      <c r="C35" s="10">
        <v>109.005</v>
      </c>
      <c r="D35" s="10">
        <v>393.57499999999999</v>
      </c>
      <c r="E35" s="10">
        <v>61.034999999999997</v>
      </c>
      <c r="F35" s="10">
        <v>199.48999999999998</v>
      </c>
    </row>
    <row r="36" spans="1:6" x14ac:dyDescent="0.3">
      <c r="B36" t="s">
        <v>6209</v>
      </c>
      <c r="C36" s="10">
        <v>287.52499999999998</v>
      </c>
      <c r="D36" s="10">
        <v>288.67</v>
      </c>
      <c r="E36" s="10">
        <v>125.58</v>
      </c>
      <c r="F36" s="10">
        <v>374.13499999999999</v>
      </c>
    </row>
    <row r="37" spans="1:6" x14ac:dyDescent="0.3">
      <c r="B37" t="s">
        <v>6210</v>
      </c>
      <c r="C37" s="10">
        <v>840.92999999999984</v>
      </c>
      <c r="D37" s="10">
        <v>409.875</v>
      </c>
      <c r="E37" s="10">
        <v>171.32999999999998</v>
      </c>
      <c r="F37" s="10">
        <v>221.43999999999997</v>
      </c>
    </row>
    <row r="38" spans="1:6" x14ac:dyDescent="0.3">
      <c r="B38" t="s">
        <v>6211</v>
      </c>
      <c r="C38" s="10">
        <v>299.07</v>
      </c>
      <c r="D38" s="10">
        <v>260.32499999999999</v>
      </c>
      <c r="E38" s="10">
        <v>584.64</v>
      </c>
      <c r="F38" s="10">
        <v>256.36500000000001</v>
      </c>
    </row>
    <row r="39" spans="1:6" x14ac:dyDescent="0.3">
      <c r="B39" t="s">
        <v>6212</v>
      </c>
      <c r="C39" s="10">
        <v>323.32499999999999</v>
      </c>
      <c r="D39" s="10">
        <v>565.57000000000005</v>
      </c>
      <c r="E39" s="10">
        <v>537.80999999999995</v>
      </c>
      <c r="F39" s="10">
        <v>189.47499999999999</v>
      </c>
    </row>
    <row r="40" spans="1:6" x14ac:dyDescent="0.3">
      <c r="B40" t="s">
        <v>6213</v>
      </c>
      <c r="C40" s="10">
        <v>399.48499999999996</v>
      </c>
      <c r="D40" s="10">
        <v>148.19999999999999</v>
      </c>
      <c r="E40" s="10">
        <v>388.21999999999997</v>
      </c>
      <c r="F40" s="10">
        <v>212.07499999999999</v>
      </c>
    </row>
    <row r="41" spans="1:6" x14ac:dyDescent="0.3">
      <c r="A41" t="s">
        <v>6201</v>
      </c>
      <c r="B41" t="s">
        <v>6202</v>
      </c>
      <c r="C41" s="10">
        <v>112.69499999999999</v>
      </c>
      <c r="D41" s="10">
        <v>166.32</v>
      </c>
      <c r="E41" s="10">
        <v>843.71499999999992</v>
      </c>
      <c r="F41" s="10">
        <v>146.685</v>
      </c>
    </row>
    <row r="42" spans="1:6" x14ac:dyDescent="0.3">
      <c r="B42" t="s">
        <v>6203</v>
      </c>
      <c r="C42" s="10">
        <v>114.87999999999998</v>
      </c>
      <c r="D42" s="10">
        <v>133.815</v>
      </c>
      <c r="E42" s="10">
        <v>91.175000000000011</v>
      </c>
      <c r="F42" s="10">
        <v>53.759999999999991</v>
      </c>
    </row>
    <row r="43" spans="1:6" x14ac:dyDescent="0.3">
      <c r="B43" t="s">
        <v>6204</v>
      </c>
      <c r="C43" s="10">
        <v>277.76</v>
      </c>
      <c r="D43" s="10">
        <v>175.41</v>
      </c>
      <c r="E43" s="10">
        <v>462.50999999999993</v>
      </c>
      <c r="F43" s="10">
        <v>399.52499999999998</v>
      </c>
    </row>
    <row r="44" spans="1:6" x14ac:dyDescent="0.3">
      <c r="B44" t="s">
        <v>6205</v>
      </c>
      <c r="C44" s="10">
        <v>197.89499999999998</v>
      </c>
      <c r="D44" s="10">
        <v>289.755</v>
      </c>
      <c r="E44" s="10">
        <v>88.545000000000002</v>
      </c>
      <c r="F44" s="10">
        <v>200.25499999999997</v>
      </c>
    </row>
    <row r="45" spans="1:6" x14ac:dyDescent="0.3">
      <c r="B45" t="s">
        <v>6206</v>
      </c>
      <c r="C45" s="10">
        <v>193.11499999999998</v>
      </c>
      <c r="D45" s="10">
        <v>212.49499999999998</v>
      </c>
      <c r="E45" s="10">
        <v>292.29000000000002</v>
      </c>
      <c r="F45" s="10">
        <v>304.46999999999997</v>
      </c>
    </row>
    <row r="46" spans="1:6" x14ac:dyDescent="0.3">
      <c r="B46" t="s">
        <v>6207</v>
      </c>
      <c r="C46" s="10">
        <v>179.79</v>
      </c>
      <c r="D46" s="10">
        <v>426.2</v>
      </c>
      <c r="E46" s="10">
        <v>170.08999999999997</v>
      </c>
      <c r="F46" s="10">
        <v>379.31</v>
      </c>
    </row>
    <row r="47" spans="1:6" x14ac:dyDescent="0.3">
      <c r="B47" t="s">
        <v>6208</v>
      </c>
      <c r="C47" s="10">
        <v>247.28999999999996</v>
      </c>
      <c r="D47" s="10">
        <v>246.685</v>
      </c>
      <c r="E47" s="10">
        <v>271.05499999999995</v>
      </c>
      <c r="F47" s="10">
        <v>141.69999999999999</v>
      </c>
    </row>
    <row r="48" spans="1:6" x14ac:dyDescent="0.3">
      <c r="B48" t="s">
        <v>6209</v>
      </c>
      <c r="C48" s="10">
        <v>116.39499999999998</v>
      </c>
      <c r="D48" s="10">
        <v>41.25</v>
      </c>
      <c r="E48" s="10">
        <v>15.54</v>
      </c>
      <c r="F48" s="10">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3CED0-7CE3-4898-BBCC-51065A782DA7}">
  <dimension ref="A3:B6"/>
  <sheetViews>
    <sheetView topLeftCell="A2" zoomScaleNormal="100" workbookViewId="0">
      <selection activeCell="P5" sqref="P5"/>
    </sheetView>
  </sheetViews>
  <sheetFormatPr defaultRowHeight="14.4" x14ac:dyDescent="0.3"/>
  <cols>
    <col min="1" max="1" width="14" bestFit="1" customWidth="1"/>
    <col min="2" max="3" width="11.6640625" bestFit="1" customWidth="1"/>
    <col min="4" max="4" width="7.44140625" bestFit="1" customWidth="1"/>
    <col min="5" max="5" width="7.77734375" bestFit="1" customWidth="1"/>
    <col min="6" max="6" width="8.21875" bestFit="1" customWidth="1"/>
  </cols>
  <sheetData>
    <row r="3" spans="1:2" x14ac:dyDescent="0.3">
      <c r="A3" s="9" t="s">
        <v>7</v>
      </c>
      <c r="B3" s="10" t="s">
        <v>6220</v>
      </c>
    </row>
    <row r="4" spans="1:2" x14ac:dyDescent="0.3">
      <c r="A4" t="s">
        <v>28</v>
      </c>
      <c r="B4" s="14">
        <v>2798.5050000000001</v>
      </c>
    </row>
    <row r="5" spans="1:2" x14ac:dyDescent="0.3">
      <c r="A5" t="s">
        <v>318</v>
      </c>
      <c r="B5" s="14">
        <v>6696.8649999999989</v>
      </c>
    </row>
    <row r="6" spans="1:2" x14ac:dyDescent="0.3">
      <c r="A6" t="s">
        <v>19</v>
      </c>
      <c r="B6" s="14">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1458-77E3-4C65-B6A6-07BD6542380D}">
  <dimension ref="A3:B8"/>
  <sheetViews>
    <sheetView topLeftCell="A2" zoomScaleNormal="100" workbookViewId="0">
      <selection activeCell="A3" sqref="A3"/>
    </sheetView>
  </sheetViews>
  <sheetFormatPr defaultRowHeight="14.4" x14ac:dyDescent="0.3"/>
  <cols>
    <col min="1" max="1" width="16.88671875" bestFit="1" customWidth="1"/>
    <col min="2" max="3" width="11.6640625" bestFit="1" customWidth="1"/>
    <col min="4" max="4" width="7.44140625" bestFit="1" customWidth="1"/>
    <col min="5" max="5" width="7.77734375" bestFit="1" customWidth="1"/>
    <col min="6" max="6" width="8.21875" bestFit="1" customWidth="1"/>
  </cols>
  <sheetData>
    <row r="3" spans="1:2" x14ac:dyDescent="0.3">
      <c r="A3" s="9" t="s">
        <v>4</v>
      </c>
      <c r="B3" s="10" t="s">
        <v>6220</v>
      </c>
    </row>
    <row r="4" spans="1:2" x14ac:dyDescent="0.3">
      <c r="A4" t="s">
        <v>3753</v>
      </c>
      <c r="B4" s="14">
        <v>278.01</v>
      </c>
    </row>
    <row r="5" spans="1:2" x14ac:dyDescent="0.3">
      <c r="A5" t="s">
        <v>1598</v>
      </c>
      <c r="B5" s="14">
        <v>281.67499999999995</v>
      </c>
    </row>
    <row r="6" spans="1:2" x14ac:dyDescent="0.3">
      <c r="A6" t="s">
        <v>2587</v>
      </c>
      <c r="B6" s="14">
        <v>289.11</v>
      </c>
    </row>
    <row r="7" spans="1:2" x14ac:dyDescent="0.3">
      <c r="A7" t="s">
        <v>5765</v>
      </c>
      <c r="B7" s="14">
        <v>307.04499999999996</v>
      </c>
    </row>
    <row r="8" spans="1:2" x14ac:dyDescent="0.3">
      <c r="A8" t="s">
        <v>5114</v>
      </c>
      <c r="B8" s="14">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9D6EC-9E77-4C10-A2F5-768BE5797782}">
  <dimension ref="G1:G17"/>
  <sheetViews>
    <sheetView showGridLines="0" tabSelected="1" zoomScale="90" zoomScaleNormal="90" workbookViewId="0">
      <selection activeCell="AA8" sqref="AA8"/>
    </sheetView>
  </sheetViews>
  <sheetFormatPr defaultRowHeight="14.4" x14ac:dyDescent="0.3"/>
  <cols>
    <col min="1" max="1" width="1.77734375" customWidth="1"/>
    <col min="12" max="13" width="8.88671875" customWidth="1"/>
    <col min="15" max="15" width="1.5546875" customWidth="1"/>
    <col min="16" max="16" width="10" customWidth="1"/>
    <col min="19" max="19" width="8.21875" customWidth="1"/>
    <col min="23" max="23" width="1.33203125" customWidth="1"/>
  </cols>
  <sheetData>
    <row r="1" spans="7:7" ht="4.95" customHeight="1" x14ac:dyDescent="0.3"/>
    <row r="6" spans="7:7" ht="7.2" customHeight="1" x14ac:dyDescent="0.3"/>
    <row r="10" spans="7:7" ht="13.8" customHeight="1" x14ac:dyDescent="0.3"/>
    <row r="11" spans="7:7" ht="12.6" customHeight="1" x14ac:dyDescent="0.3"/>
    <row r="14" spans="7:7" ht="6" customHeight="1" x14ac:dyDescent="0.3"/>
    <row r="15" spans="7:7" ht="5.4" customHeight="1" x14ac:dyDescent="0.3">
      <c r="G15" s="15"/>
    </row>
    <row r="16" spans="7:7" ht="9" customHeight="1" x14ac:dyDescent="0.3"/>
    <row r="17" ht="1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90" zoomScaleNormal="90" workbookViewId="0">
      <selection activeCell="O11" sqref="O11"/>
    </sheetView>
  </sheetViews>
  <sheetFormatPr defaultRowHeight="14.4" x14ac:dyDescent="0.3"/>
  <cols>
    <col min="1" max="1" width="16.5546875" bestFit="1" customWidth="1"/>
    <col min="2" max="2" width="13.33203125" style="4" customWidth="1"/>
    <col min="3" max="3" width="17.44140625" bestFit="1" customWidth="1"/>
    <col min="4" max="4" width="12.21875" customWidth="1"/>
    <col min="5" max="5" width="10.6640625" customWidth="1"/>
    <col min="6" max="6" width="17.109375" customWidth="1"/>
    <col min="7" max="7" width="28.44140625" customWidth="1"/>
    <col min="8" max="8" width="17.88671875" customWidth="1"/>
    <col min="9" max="9" width="13.33203125" customWidth="1"/>
    <col min="10" max="10" width="12.5546875" customWidth="1"/>
    <col min="11" max="11" width="6.88671875" style="6" bestFit="1" customWidth="1"/>
    <col min="12" max="12" width="12.5546875" style="8" customWidth="1"/>
    <col min="13" max="13" width="10.44140625" style="8" customWidth="1"/>
    <col min="14" max="14" width="19" customWidth="1"/>
    <col min="15" max="15" width="18.21875" customWidth="1"/>
    <col min="16" max="16" width="17.77734375" style="11" customWidth="1"/>
  </cols>
  <sheetData>
    <row r="1" spans="1:16" x14ac:dyDescent="0.3">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s="12" t="s">
        <v>6189</v>
      </c>
    </row>
    <row r="2" spans="1:16" x14ac:dyDescent="0.3">
      <c r="A2" s="2" t="s">
        <v>490</v>
      </c>
      <c r="B2" s="3">
        <v>43713</v>
      </c>
      <c r="C2" s="2" t="s">
        <v>491</v>
      </c>
      <c r="D2" t="s">
        <v>6138</v>
      </c>
      <c r="E2" s="2">
        <v>2</v>
      </c>
      <c r="F2" s="2" t="str">
        <f>_xlfn.XLOOKUP(orders!C2,customers!$A$1:$A$1001,customers!$B$1:$B$1001,,0)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IF(I2="Rob","Robusta",IF(I2="Exc","Excelsa",IF(I2="Ara","Arabica",IF(I2="Lib","Liberica",""))))</f>
        <v>Robusta</v>
      </c>
      <c r="O2" t="str">
        <f>IF(J2="M","Medium",IF(J2="L","Light",IF(J2="D","Dark","")))</f>
        <v>Medium</v>
      </c>
      <c r="P2" s="13" t="str">
        <f>_xlfn.XLOOKUP(Orders[[#This Row],[Customer ID]],customers!$A$1:$A$1001,customers!$I$1:$I$1001,,0)</f>
        <v>Yes</v>
      </c>
    </row>
    <row r="3" spans="1:16" x14ac:dyDescent="0.3">
      <c r="A3" s="2" t="s">
        <v>490</v>
      </c>
      <c r="B3" s="3">
        <v>43713</v>
      </c>
      <c r="C3" s="2" t="s">
        <v>491</v>
      </c>
      <c r="D3" t="s">
        <v>6139</v>
      </c>
      <c r="E3" s="2">
        <v>5</v>
      </c>
      <c r="F3" s="2" t="str">
        <f>_xlfn.XLOOKUP(orders!C3,customers!$A$1:$A$1001,customers!$B$1:$B$1001,,0)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IF(I3="Rob","Robusta",IF(I3="Exc","Excelsa",IF(I3="Ara","Arabica",IF(I3="Lib","Liberica",""))))</f>
        <v>Excelsa</v>
      </c>
      <c r="O3" t="str">
        <f t="shared" ref="O3:O66" si="2">IF(J3="M","Medium",IF(J3="L","Light",IF(J3="D","Dark","")))</f>
        <v>Medium</v>
      </c>
      <c r="P3" s="13" t="str">
        <f>_xlfn.XLOOKUP(Orders[[#This Row],[Customer ID]],customers!$A$1:$A$1001,customers!$I$1:$I$1001,,0)</f>
        <v>Yes</v>
      </c>
    </row>
    <row r="4" spans="1:16" x14ac:dyDescent="0.3">
      <c r="A4" s="2" t="s">
        <v>501</v>
      </c>
      <c r="B4" s="3">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s="13" t="str">
        <f>_xlfn.XLOOKUP(Orders[[#This Row],[Customer ID]],customers!$A$1:$A$1001,customers!$I$1:$I$1001,,0)</f>
        <v>Yes</v>
      </c>
    </row>
    <row r="5" spans="1:16" x14ac:dyDescent="0.3">
      <c r="A5" s="2" t="s">
        <v>512</v>
      </c>
      <c r="B5" s="3">
        <v>44392</v>
      </c>
      <c r="C5" s="2" t="s">
        <v>513</v>
      </c>
      <c r="D5" t="s">
        <v>6141</v>
      </c>
      <c r="E5" s="2">
        <v>2</v>
      </c>
      <c r="F5" s="2" t="str">
        <f>_xlfn.XLOOKUP(orders!C5,customers!$A$1:$A$1001,customers!$B$1:$B$1001,,0)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s="13" t="str">
        <f>_xlfn.XLOOKUP(Orders[[#This Row],[Customer ID]],customers!$A$1:$A$1001,customers!$I$1:$I$1001,,0)</f>
        <v>No</v>
      </c>
    </row>
    <row r="6" spans="1:16" x14ac:dyDescent="0.3">
      <c r="A6" s="2" t="s">
        <v>512</v>
      </c>
      <c r="B6" s="3">
        <v>44392</v>
      </c>
      <c r="C6" s="2" t="s">
        <v>513</v>
      </c>
      <c r="D6" t="s">
        <v>6142</v>
      </c>
      <c r="E6" s="2">
        <v>2</v>
      </c>
      <c r="F6" s="2" t="str">
        <f>_xlfn.XLOOKUP(orders!C6,customers!$A$1:$A$1001,customers!$B$1:$B$1001,,0)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s="13" t="str">
        <f>_xlfn.XLOOKUP(Orders[[#This Row],[Customer ID]],customers!$A$1:$A$1001,customers!$I$1:$I$1001,,0)</f>
        <v>No</v>
      </c>
    </row>
    <row r="7" spans="1:16" x14ac:dyDescent="0.3">
      <c r="A7" s="2" t="s">
        <v>519</v>
      </c>
      <c r="B7" s="3">
        <v>44412</v>
      </c>
      <c r="C7" s="2" t="s">
        <v>520</v>
      </c>
      <c r="D7" t="s">
        <v>6143</v>
      </c>
      <c r="E7" s="2">
        <v>3</v>
      </c>
      <c r="F7" s="2" t="str">
        <f>_xlfn.XLOOKUP(orders!C7,customers!$A$1:$A$1001,customers!$B$1:$B$1001,,0)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s="13" t="str">
        <f>_xlfn.XLOOKUP(Orders[[#This Row],[Customer ID]],customers!$A$1:$A$1001,customers!$I$1:$I$1001,,0)</f>
        <v>No</v>
      </c>
    </row>
    <row r="8" spans="1:16" x14ac:dyDescent="0.3">
      <c r="A8" s="2" t="s">
        <v>524</v>
      </c>
      <c r="B8" s="3">
        <v>44582</v>
      </c>
      <c r="C8" s="2" t="s">
        <v>525</v>
      </c>
      <c r="D8" t="s">
        <v>6144</v>
      </c>
      <c r="E8" s="2">
        <v>3</v>
      </c>
      <c r="F8" s="2" t="str">
        <f>_xlfn.XLOOKUP(orders!C8,customers!$A$1:$A$1001,customers!$B$1:$B$1001,,0)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s="13" t="str">
        <f>_xlfn.XLOOKUP(Orders[[#This Row],[Customer ID]],customers!$A$1:$A$1001,customers!$I$1:$I$1001,,0)</f>
        <v>Yes</v>
      </c>
    </row>
    <row r="9" spans="1:16" x14ac:dyDescent="0.3">
      <c r="A9" s="2" t="s">
        <v>530</v>
      </c>
      <c r="B9" s="3">
        <v>44701</v>
      </c>
      <c r="C9" s="2" t="s">
        <v>531</v>
      </c>
      <c r="D9" t="s">
        <v>6145</v>
      </c>
      <c r="E9" s="2">
        <v>1</v>
      </c>
      <c r="F9" s="2" t="str">
        <f>_xlfn.XLOOKUP(orders!C9,customers!$A$1:$A$1001,customers!$B$1:$B$1001,,0)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s="13" t="str">
        <f>_xlfn.XLOOKUP(Orders[[#This Row],[Customer ID]],customers!$A$1:$A$1001,customers!$I$1:$I$1001,,0)</f>
        <v>Yes</v>
      </c>
    </row>
    <row r="10" spans="1:16" x14ac:dyDescent="0.3">
      <c r="A10" s="2" t="s">
        <v>535</v>
      </c>
      <c r="B10" s="3">
        <v>43467</v>
      </c>
      <c r="C10" s="2" t="s">
        <v>536</v>
      </c>
      <c r="D10" t="s">
        <v>6146</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s="13" t="str">
        <f>_xlfn.XLOOKUP(Orders[[#This Row],[Customer ID]],customers!$A$1:$A$1001,customers!$I$1:$I$1001,,0)</f>
        <v>No</v>
      </c>
    </row>
    <row r="11" spans="1:16" x14ac:dyDescent="0.3">
      <c r="A11" s="2" t="s">
        <v>541</v>
      </c>
      <c r="B11" s="3">
        <v>43713</v>
      </c>
      <c r="C11" s="2" t="s">
        <v>542</v>
      </c>
      <c r="D11" t="s">
        <v>6146</v>
      </c>
      <c r="E11" s="2">
        <v>1</v>
      </c>
      <c r="F11" s="2" t="str">
        <f>_xlfn.XLOOKUP(orders!C11,customers!$A$1:$A$1001,customers!$B$1:$B$1001,,0)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s="13" t="str">
        <f>_xlfn.XLOOKUP(Orders[[#This Row],[Customer ID]],customers!$A$1:$A$1001,customers!$I$1:$I$1001,,0)</f>
        <v>No</v>
      </c>
    </row>
    <row r="12" spans="1:16" x14ac:dyDescent="0.3">
      <c r="A12" s="2" t="s">
        <v>547</v>
      </c>
      <c r="B12" s="3">
        <v>44263</v>
      </c>
      <c r="C12" s="2" t="s">
        <v>548</v>
      </c>
      <c r="D12" t="s">
        <v>6147</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s="13" t="str">
        <f>_xlfn.XLOOKUP(Orders[[#This Row],[Customer ID]],customers!$A$1:$A$1001,customers!$I$1:$I$1001,,0)</f>
        <v>No</v>
      </c>
    </row>
    <row r="13" spans="1:16" x14ac:dyDescent="0.3">
      <c r="A13" s="2" t="s">
        <v>553</v>
      </c>
      <c r="B13" s="3">
        <v>44132</v>
      </c>
      <c r="C13" s="2" t="s">
        <v>554</v>
      </c>
      <c r="D13" t="s">
        <v>6148</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s="13" t="str">
        <f>_xlfn.XLOOKUP(Orders[[#This Row],[Customer ID]],customers!$A$1:$A$1001,customers!$I$1:$I$1001,,0)</f>
        <v>Yes</v>
      </c>
    </row>
    <row r="14" spans="1:16" x14ac:dyDescent="0.3">
      <c r="A14" s="2" t="s">
        <v>559</v>
      </c>
      <c r="B14" s="3">
        <v>44744</v>
      </c>
      <c r="C14" s="2" t="s">
        <v>560</v>
      </c>
      <c r="D14" t="s">
        <v>6138</v>
      </c>
      <c r="E14" s="2">
        <v>5</v>
      </c>
      <c r="F14" s="2" t="str">
        <f>_xlfn.XLOOKUP(orders!C14,customers!$A$1:$A$1001,customers!$B$1:$B$1001,,0)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s="13" t="str">
        <f>_xlfn.XLOOKUP(Orders[[#This Row],[Customer ID]],customers!$A$1:$A$1001,customers!$I$1:$I$1001,,0)</f>
        <v>No</v>
      </c>
    </row>
    <row r="15" spans="1:16" x14ac:dyDescent="0.3">
      <c r="A15" s="2" t="s">
        <v>565</v>
      </c>
      <c r="B15" s="3">
        <v>43973</v>
      </c>
      <c r="C15" s="2" t="s">
        <v>566</v>
      </c>
      <c r="D15" t="s">
        <v>6149</v>
      </c>
      <c r="E15" s="2">
        <v>2</v>
      </c>
      <c r="F15" s="2" t="str">
        <f>_xlfn.XLOOKUP(orders!C15,customers!$A$1:$A$1001,customers!$B$1:$B$1001,,0)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s="13" t="str">
        <f>_xlfn.XLOOKUP(Orders[[#This Row],[Customer ID]],customers!$A$1:$A$1001,customers!$I$1:$I$1001,,0)</f>
        <v>No</v>
      </c>
    </row>
    <row r="16" spans="1:16" x14ac:dyDescent="0.3">
      <c r="A16" s="2" t="s">
        <v>570</v>
      </c>
      <c r="B16" s="3">
        <v>44656</v>
      </c>
      <c r="C16" s="2" t="s">
        <v>571</v>
      </c>
      <c r="D16" t="s">
        <v>6150</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s="13" t="str">
        <f>_xlfn.XLOOKUP(Orders[[#This Row],[Customer ID]],customers!$A$1:$A$1001,customers!$I$1:$I$1001,,0)</f>
        <v>Yes</v>
      </c>
    </row>
    <row r="17" spans="1:16" x14ac:dyDescent="0.3">
      <c r="A17" s="2" t="s">
        <v>576</v>
      </c>
      <c r="B17" s="3">
        <v>44719</v>
      </c>
      <c r="C17" s="2" t="s">
        <v>577</v>
      </c>
      <c r="D17" t="s">
        <v>6151</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s="13" t="str">
        <f>_xlfn.XLOOKUP(Orders[[#This Row],[Customer ID]],customers!$A$1:$A$1001,customers!$I$1:$I$1001,,0)</f>
        <v>No</v>
      </c>
    </row>
    <row r="18" spans="1:16" x14ac:dyDescent="0.3">
      <c r="A18" s="2" t="s">
        <v>581</v>
      </c>
      <c r="B18" s="3">
        <v>43544</v>
      </c>
      <c r="C18" s="2" t="s">
        <v>582</v>
      </c>
      <c r="D18" t="s">
        <v>6152</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s="13" t="str">
        <f>_xlfn.XLOOKUP(Orders[[#This Row],[Customer ID]],customers!$A$1:$A$1001,customers!$I$1:$I$1001,,0)</f>
        <v>No</v>
      </c>
    </row>
    <row r="19" spans="1:16" x14ac:dyDescent="0.3">
      <c r="A19" s="2" t="s">
        <v>587</v>
      </c>
      <c r="B19" s="3">
        <v>43757</v>
      </c>
      <c r="C19" s="2" t="s">
        <v>588</v>
      </c>
      <c r="D19" t="s">
        <v>6140</v>
      </c>
      <c r="E19" s="2">
        <v>6</v>
      </c>
      <c r="F19" s="2" t="str">
        <f>_xlfn.XLOOKUP(orders!C19,customers!$A$1:$A$1001,customers!$B$1:$B$1001,,0)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s="13" t="str">
        <f>_xlfn.XLOOKUP(Orders[[#This Row],[Customer ID]],customers!$A$1:$A$1001,customers!$I$1:$I$1001,,0)</f>
        <v>No</v>
      </c>
    </row>
    <row r="20" spans="1:16" x14ac:dyDescent="0.3">
      <c r="A20" s="2" t="s">
        <v>593</v>
      </c>
      <c r="B20" s="3">
        <v>43629</v>
      </c>
      <c r="C20" s="2" t="s">
        <v>594</v>
      </c>
      <c r="D20" t="s">
        <v>6149</v>
      </c>
      <c r="E20" s="2">
        <v>4</v>
      </c>
      <c r="F20" s="2" t="str">
        <f>_xlfn.XLOOKUP(orders!C20,customers!$A$1:$A$1001,customers!$B$1:$B$1001,,0)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s="13" t="str">
        <f>_xlfn.XLOOKUP(Orders[[#This Row],[Customer ID]],customers!$A$1:$A$1001,customers!$I$1:$I$1001,,0)</f>
        <v>Yes</v>
      </c>
    </row>
    <row r="21" spans="1:16" x14ac:dyDescent="0.3">
      <c r="A21" s="2" t="s">
        <v>598</v>
      </c>
      <c r="B21" s="3">
        <v>44169</v>
      </c>
      <c r="C21" s="2" t="s">
        <v>599</v>
      </c>
      <c r="D21" t="s">
        <v>6152</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s="13" t="str">
        <f>_xlfn.XLOOKUP(Orders[[#This Row],[Customer ID]],customers!$A$1:$A$1001,customers!$I$1:$I$1001,,0)</f>
        <v>Yes</v>
      </c>
    </row>
    <row r="22" spans="1:16" x14ac:dyDescent="0.3">
      <c r="A22" s="2" t="s">
        <v>598</v>
      </c>
      <c r="B22" s="3">
        <v>44169</v>
      </c>
      <c r="C22" s="2" t="s">
        <v>599</v>
      </c>
      <c r="D22" t="s">
        <v>6153</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s="13" t="str">
        <f>_xlfn.XLOOKUP(Orders[[#This Row],[Customer ID]],customers!$A$1:$A$1001,customers!$I$1:$I$1001,,0)</f>
        <v>Yes</v>
      </c>
    </row>
    <row r="23" spans="1:16" x14ac:dyDescent="0.3">
      <c r="A23" s="2" t="s">
        <v>608</v>
      </c>
      <c r="B23" s="3">
        <v>44169</v>
      </c>
      <c r="C23" s="2" t="s">
        <v>609</v>
      </c>
      <c r="D23" t="s">
        <v>6154</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s="13" t="str">
        <f>_xlfn.XLOOKUP(Orders[[#This Row],[Customer ID]],customers!$A$1:$A$1001,customers!$I$1:$I$1001,,0)</f>
        <v>No</v>
      </c>
    </row>
    <row r="24" spans="1:16" x14ac:dyDescent="0.3">
      <c r="A24" s="2" t="s">
        <v>614</v>
      </c>
      <c r="B24" s="3">
        <v>44218</v>
      </c>
      <c r="C24" s="2" t="s">
        <v>615</v>
      </c>
      <c r="D24" t="s">
        <v>6151</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s="13" t="str">
        <f>_xlfn.XLOOKUP(Orders[[#This Row],[Customer ID]],customers!$A$1:$A$1001,customers!$I$1:$I$1001,,0)</f>
        <v>Yes</v>
      </c>
    </row>
    <row r="25" spans="1:16" x14ac:dyDescent="0.3">
      <c r="A25" s="2" t="s">
        <v>620</v>
      </c>
      <c r="B25" s="3">
        <v>44603</v>
      </c>
      <c r="C25" s="2" t="s">
        <v>621</v>
      </c>
      <c r="D25" t="s">
        <v>6154</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s="13" t="str">
        <f>_xlfn.XLOOKUP(Orders[[#This Row],[Customer ID]],customers!$A$1:$A$1001,customers!$I$1:$I$1001,,0)</f>
        <v>Yes</v>
      </c>
    </row>
    <row r="26" spans="1:16" x14ac:dyDescent="0.3">
      <c r="A26" s="2" t="s">
        <v>626</v>
      </c>
      <c r="B26" s="3">
        <v>44454</v>
      </c>
      <c r="C26" s="2" t="s">
        <v>627</v>
      </c>
      <c r="D26" t="s">
        <v>6155</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s="13" t="str">
        <f>_xlfn.XLOOKUP(Orders[[#This Row],[Customer ID]],customers!$A$1:$A$1001,customers!$I$1:$I$1001,,0)</f>
        <v>No</v>
      </c>
    </row>
    <row r="27" spans="1:16" x14ac:dyDescent="0.3">
      <c r="A27" s="2" t="s">
        <v>632</v>
      </c>
      <c r="B27" s="3">
        <v>44128</v>
      </c>
      <c r="C27" s="2" t="s">
        <v>633</v>
      </c>
      <c r="D27" t="s">
        <v>6156</v>
      </c>
      <c r="E27" s="2">
        <v>3</v>
      </c>
      <c r="F27" s="2" t="str">
        <f>_xlfn.XLOOKUP(orders!C27,customers!$A$1:$A$1001,customers!$B$1:$B$1001,,0)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s="13" t="str">
        <f>_xlfn.XLOOKUP(Orders[[#This Row],[Customer ID]],customers!$A$1:$A$1001,customers!$I$1:$I$1001,,0)</f>
        <v>Yes</v>
      </c>
    </row>
    <row r="28" spans="1:16" x14ac:dyDescent="0.3">
      <c r="A28" s="2" t="s">
        <v>637</v>
      </c>
      <c r="B28" s="3">
        <v>43516</v>
      </c>
      <c r="C28" s="2" t="s">
        <v>638</v>
      </c>
      <c r="D28" t="s">
        <v>6157</v>
      </c>
      <c r="E28" s="2">
        <v>4</v>
      </c>
      <c r="F28" s="2" t="str">
        <f>_xlfn.XLOOKUP(orders!C28,customers!$A$1:$A$1001,customers!$B$1:$B$1001,,0)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s="13" t="str">
        <f>_xlfn.XLOOKUP(Orders[[#This Row],[Customer ID]],customers!$A$1:$A$1001,customers!$I$1:$I$1001,,0)</f>
        <v>Yes</v>
      </c>
    </row>
    <row r="29" spans="1:16" x14ac:dyDescent="0.3">
      <c r="A29" s="2" t="s">
        <v>643</v>
      </c>
      <c r="B29" s="3">
        <v>43746</v>
      </c>
      <c r="C29" s="2" t="s">
        <v>644</v>
      </c>
      <c r="D29" t="s">
        <v>6152</v>
      </c>
      <c r="E29" s="2">
        <v>5</v>
      </c>
      <c r="F29" s="2" t="str">
        <f>_xlfn.XLOOKUP(orders!C29,customers!$A$1:$A$1001,customers!$B$1:$B$1001,,0)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s="13" t="str">
        <f>_xlfn.XLOOKUP(Orders[[#This Row],[Customer ID]],customers!$A$1:$A$1001,customers!$I$1:$I$1001,,0)</f>
        <v>No</v>
      </c>
    </row>
    <row r="30" spans="1:16" x14ac:dyDescent="0.3">
      <c r="A30" s="2" t="s">
        <v>649</v>
      </c>
      <c r="B30" s="3">
        <v>44775</v>
      </c>
      <c r="C30" s="2" t="s">
        <v>650</v>
      </c>
      <c r="D30" t="s">
        <v>6158</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s="13" t="str">
        <f>_xlfn.XLOOKUP(Orders[[#This Row],[Customer ID]],customers!$A$1:$A$1001,customers!$I$1:$I$1001,,0)</f>
        <v>No</v>
      </c>
    </row>
    <row r="31" spans="1:16" x14ac:dyDescent="0.3">
      <c r="A31" s="2" t="s">
        <v>655</v>
      </c>
      <c r="B31" s="3">
        <v>43516</v>
      </c>
      <c r="C31" s="2" t="s">
        <v>656</v>
      </c>
      <c r="D31" t="s">
        <v>6147</v>
      </c>
      <c r="E31" s="2">
        <v>4</v>
      </c>
      <c r="F31" s="2" t="str">
        <f>_xlfn.XLOOKUP(orders!C31,customers!$A$1:$A$1001,customers!$B$1:$B$1001,,0)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s="13" t="str">
        <f>_xlfn.XLOOKUP(Orders[[#This Row],[Customer ID]],customers!$A$1:$A$1001,customers!$I$1:$I$1001,,0)</f>
        <v>Yes</v>
      </c>
    </row>
    <row r="32" spans="1:16" x14ac:dyDescent="0.3">
      <c r="A32" s="2" t="s">
        <v>661</v>
      </c>
      <c r="B32" s="3">
        <v>44464</v>
      </c>
      <c r="C32" s="2" t="s">
        <v>662</v>
      </c>
      <c r="D32" t="s">
        <v>6159</v>
      </c>
      <c r="E32" s="2">
        <v>5</v>
      </c>
      <c r="F32" s="2" t="str">
        <f>_xlfn.XLOOKUP(orders!C32,customers!$A$1:$A$1001,customers!$B$1:$B$1001,,0)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s="13" t="str">
        <f>_xlfn.XLOOKUP(Orders[[#This Row],[Customer ID]],customers!$A$1:$A$1001,customers!$I$1:$I$1001,,0)</f>
        <v>No</v>
      </c>
    </row>
    <row r="33" spans="1:16" x14ac:dyDescent="0.3">
      <c r="A33" s="2" t="s">
        <v>661</v>
      </c>
      <c r="B33" s="3">
        <v>44464</v>
      </c>
      <c r="C33" s="2" t="s">
        <v>662</v>
      </c>
      <c r="D33" t="s">
        <v>6158</v>
      </c>
      <c r="E33" s="2">
        <v>6</v>
      </c>
      <c r="F33" s="2" t="str">
        <f>_xlfn.XLOOKUP(orders!C33,customers!$A$1:$A$1001,customers!$B$1:$B$1001,,0)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s="13" t="str">
        <f>_xlfn.XLOOKUP(Orders[[#This Row],[Customer ID]],customers!$A$1:$A$1001,customers!$I$1:$I$1001,,0)</f>
        <v>No</v>
      </c>
    </row>
    <row r="34" spans="1:16" x14ac:dyDescent="0.3">
      <c r="A34" s="2" t="s">
        <v>661</v>
      </c>
      <c r="B34" s="3">
        <v>44464</v>
      </c>
      <c r="C34" s="2" t="s">
        <v>662</v>
      </c>
      <c r="D34" t="s">
        <v>6160</v>
      </c>
      <c r="E34" s="2">
        <v>6</v>
      </c>
      <c r="F34" s="2" t="str">
        <f>_xlfn.XLOOKUP(orders!C34,customers!$A$1:$A$1001,customers!$B$1:$B$1001,,0)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s="13" t="str">
        <f>_xlfn.XLOOKUP(Orders[[#This Row],[Customer ID]],customers!$A$1:$A$1001,customers!$I$1:$I$1001,,0)</f>
        <v>No</v>
      </c>
    </row>
    <row r="35" spans="1:16" x14ac:dyDescent="0.3">
      <c r="A35" s="2" t="s">
        <v>676</v>
      </c>
      <c r="B35" s="3">
        <v>44394</v>
      </c>
      <c r="C35" s="2" t="s">
        <v>677</v>
      </c>
      <c r="D35" t="s">
        <v>6145</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s="13" t="str">
        <f>_xlfn.XLOOKUP(Orders[[#This Row],[Customer ID]],customers!$A$1:$A$1001,customers!$I$1:$I$1001,,0)</f>
        <v>No</v>
      </c>
    </row>
    <row r="36" spans="1:16" x14ac:dyDescent="0.3">
      <c r="A36" s="2" t="s">
        <v>681</v>
      </c>
      <c r="B36" s="3">
        <v>44011</v>
      </c>
      <c r="C36" s="2" t="s">
        <v>682</v>
      </c>
      <c r="D36" t="s">
        <v>6161</v>
      </c>
      <c r="E36" s="2">
        <v>6</v>
      </c>
      <c r="F36" s="2" t="str">
        <f>_xlfn.XLOOKUP(orders!C36,customers!$A$1:$A$1001,customers!$B$1:$B$1001,,0)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s="13" t="str">
        <f>_xlfn.XLOOKUP(Orders[[#This Row],[Customer ID]],customers!$A$1:$A$1001,customers!$I$1:$I$1001,,0)</f>
        <v>Yes</v>
      </c>
    </row>
    <row r="37" spans="1:16" x14ac:dyDescent="0.3">
      <c r="A37" s="2" t="s">
        <v>687</v>
      </c>
      <c r="B37" s="3">
        <v>44348</v>
      </c>
      <c r="C37" s="2" t="s">
        <v>688</v>
      </c>
      <c r="D37" t="s">
        <v>6158</v>
      </c>
      <c r="E37" s="2">
        <v>6</v>
      </c>
      <c r="F37" s="2" t="str">
        <f>_xlfn.XLOOKUP(orders!C37,customers!$A$1:$A$1001,customers!$B$1:$B$1001,,0)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s="13" t="str">
        <f>_xlfn.XLOOKUP(Orders[[#This Row],[Customer ID]],customers!$A$1:$A$1001,customers!$I$1:$I$1001,,0)</f>
        <v>No</v>
      </c>
    </row>
    <row r="38" spans="1:16" x14ac:dyDescent="0.3">
      <c r="A38" s="2" t="s">
        <v>693</v>
      </c>
      <c r="B38" s="3">
        <v>44233</v>
      </c>
      <c r="C38" s="2" t="s">
        <v>694</v>
      </c>
      <c r="D38" t="s">
        <v>6159</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s="13" t="str">
        <f>_xlfn.XLOOKUP(Orders[[#This Row],[Customer ID]],customers!$A$1:$A$1001,customers!$I$1:$I$1001,,0)</f>
        <v>No</v>
      </c>
    </row>
    <row r="39" spans="1:16" x14ac:dyDescent="0.3">
      <c r="A39" s="2" t="s">
        <v>699</v>
      </c>
      <c r="B39" s="3">
        <v>43580</v>
      </c>
      <c r="C39" s="2" t="s">
        <v>700</v>
      </c>
      <c r="D39" t="s">
        <v>6161</v>
      </c>
      <c r="E39" s="2">
        <v>3</v>
      </c>
      <c r="F39" s="2" t="str">
        <f>_xlfn.XLOOKUP(orders!C39,customers!$A$1:$A$1001,customers!$B$1:$B$1001,,0)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s="13" t="str">
        <f>_xlfn.XLOOKUP(Orders[[#This Row],[Customer ID]],customers!$A$1:$A$1001,customers!$I$1:$I$1001,,0)</f>
        <v>No</v>
      </c>
    </row>
    <row r="40" spans="1:16" x14ac:dyDescent="0.3">
      <c r="A40" s="2" t="s">
        <v>705</v>
      </c>
      <c r="B40" s="3">
        <v>43946</v>
      </c>
      <c r="C40" s="2" t="s">
        <v>706</v>
      </c>
      <c r="D40" t="s">
        <v>6151</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s="13" t="str">
        <f>_xlfn.XLOOKUP(Orders[[#This Row],[Customer ID]],customers!$A$1:$A$1001,customers!$I$1:$I$1001,,0)</f>
        <v>No</v>
      </c>
    </row>
    <row r="41" spans="1:16" x14ac:dyDescent="0.3">
      <c r="A41" s="2" t="s">
        <v>711</v>
      </c>
      <c r="B41" s="3">
        <v>44524</v>
      </c>
      <c r="C41" s="2" t="s">
        <v>712</v>
      </c>
      <c r="D41" t="s">
        <v>6138</v>
      </c>
      <c r="E41" s="2">
        <v>6</v>
      </c>
      <c r="F41" s="2" t="str">
        <f>_xlfn.XLOOKUP(orders!C41,customers!$A$1:$A$1001,customers!$B$1:$B$1001,,0)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s="13" t="str">
        <f>_xlfn.XLOOKUP(Orders[[#This Row],[Customer ID]],customers!$A$1:$A$1001,customers!$I$1:$I$1001,,0)</f>
        <v>Yes</v>
      </c>
    </row>
    <row r="42" spans="1:16" x14ac:dyDescent="0.3">
      <c r="A42" s="2" t="s">
        <v>715</v>
      </c>
      <c r="B42" s="3">
        <v>44305</v>
      </c>
      <c r="C42" s="2" t="s">
        <v>716</v>
      </c>
      <c r="D42" t="s">
        <v>6162</v>
      </c>
      <c r="E42" s="2">
        <v>3</v>
      </c>
      <c r="F42" s="2" t="str">
        <f>_xlfn.XLOOKUP(orders!C42,customers!$A$1:$A$1001,customers!$B$1:$B$1001,,0)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s="13" t="str">
        <f>_xlfn.XLOOKUP(Orders[[#This Row],[Customer ID]],customers!$A$1:$A$1001,customers!$I$1:$I$1001,,0)</f>
        <v>No</v>
      </c>
    </row>
    <row r="43" spans="1:16" x14ac:dyDescent="0.3">
      <c r="A43" s="2" t="s">
        <v>720</v>
      </c>
      <c r="B43" s="3">
        <v>44749</v>
      </c>
      <c r="C43" s="2" t="s">
        <v>721</v>
      </c>
      <c r="D43" t="s">
        <v>6153</v>
      </c>
      <c r="E43" s="2">
        <v>2</v>
      </c>
      <c r="F43" s="2" t="str">
        <f>_xlfn.XLOOKUP(orders!C43,customers!$A$1:$A$1001,customers!$B$1:$B$1001,,0)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s="13" t="str">
        <f>_xlfn.XLOOKUP(Orders[[#This Row],[Customer ID]],customers!$A$1:$A$1001,customers!$I$1:$I$1001,,0)</f>
        <v>Yes</v>
      </c>
    </row>
    <row r="44" spans="1:16" x14ac:dyDescent="0.3">
      <c r="A44" s="2" t="s">
        <v>726</v>
      </c>
      <c r="B44" s="3">
        <v>43607</v>
      </c>
      <c r="C44" s="2" t="s">
        <v>727</v>
      </c>
      <c r="D44" t="s">
        <v>6163</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s="13" t="str">
        <f>_xlfn.XLOOKUP(Orders[[#This Row],[Customer ID]],customers!$A$1:$A$1001,customers!$I$1:$I$1001,,0)</f>
        <v>Yes</v>
      </c>
    </row>
    <row r="45" spans="1:16" x14ac:dyDescent="0.3">
      <c r="A45" s="2" t="s">
        <v>733</v>
      </c>
      <c r="B45" s="3">
        <v>44473</v>
      </c>
      <c r="C45" s="2" t="s">
        <v>734</v>
      </c>
      <c r="D45" t="s">
        <v>6164</v>
      </c>
      <c r="E45" s="2">
        <v>2</v>
      </c>
      <c r="F45" s="2" t="str">
        <f>_xlfn.XLOOKUP(orders!C45,customers!$A$1:$A$1001,customers!$B$1:$B$1001,,0)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s="13" t="str">
        <f>_xlfn.XLOOKUP(Orders[[#This Row],[Customer ID]],customers!$A$1:$A$1001,customers!$I$1:$I$1001,,0)</f>
        <v>No</v>
      </c>
    </row>
    <row r="46" spans="1:16" x14ac:dyDescent="0.3">
      <c r="A46" s="2" t="s">
        <v>738</v>
      </c>
      <c r="B46" s="3">
        <v>43932</v>
      </c>
      <c r="C46" s="2" t="s">
        <v>739</v>
      </c>
      <c r="D46" t="s">
        <v>6139</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s="13" t="str">
        <f>_xlfn.XLOOKUP(Orders[[#This Row],[Customer ID]],customers!$A$1:$A$1001,customers!$I$1:$I$1001,,0)</f>
        <v>Yes</v>
      </c>
    </row>
    <row r="47" spans="1:16" x14ac:dyDescent="0.3">
      <c r="A47" s="2" t="s">
        <v>744</v>
      </c>
      <c r="B47" s="3">
        <v>44592</v>
      </c>
      <c r="C47" s="2" t="s">
        <v>745</v>
      </c>
      <c r="D47" t="s">
        <v>6165</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s="13" t="str">
        <f>_xlfn.XLOOKUP(Orders[[#This Row],[Customer ID]],customers!$A$1:$A$1001,customers!$I$1:$I$1001,,0)</f>
        <v>No</v>
      </c>
    </row>
    <row r="48" spans="1:16" x14ac:dyDescent="0.3">
      <c r="A48" s="2" t="s">
        <v>750</v>
      </c>
      <c r="B48" s="3">
        <v>43776</v>
      </c>
      <c r="C48" s="2" t="s">
        <v>751</v>
      </c>
      <c r="D48" t="s">
        <v>6166</v>
      </c>
      <c r="E48" s="2">
        <v>2</v>
      </c>
      <c r="F48" s="2" t="str">
        <f>_xlfn.XLOOKUP(orders!C48,customers!$A$1:$A$1001,customers!$B$1:$B$1001,,0)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s="13" t="str">
        <f>_xlfn.XLOOKUP(Orders[[#This Row],[Customer ID]],customers!$A$1:$A$1001,customers!$I$1:$I$1001,,0)</f>
        <v>Yes</v>
      </c>
    </row>
    <row r="49" spans="1:16" x14ac:dyDescent="0.3">
      <c r="A49" s="2" t="s">
        <v>755</v>
      </c>
      <c r="B49" s="3">
        <v>43644</v>
      </c>
      <c r="C49" s="2" t="s">
        <v>756</v>
      </c>
      <c r="D49" t="s">
        <v>6167</v>
      </c>
      <c r="E49" s="2">
        <v>2</v>
      </c>
      <c r="F49" s="2" t="str">
        <f>_xlfn.XLOOKUP(orders!C49,customers!$A$1:$A$1001,customers!$B$1:$B$1001,,0)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s="13" t="str">
        <f>_xlfn.XLOOKUP(Orders[[#This Row],[Customer ID]],customers!$A$1:$A$1001,customers!$I$1:$I$1001,,0)</f>
        <v>Yes</v>
      </c>
    </row>
    <row r="50" spans="1:16" x14ac:dyDescent="0.3">
      <c r="A50" s="2" t="s">
        <v>761</v>
      </c>
      <c r="B50" s="3">
        <v>44085</v>
      </c>
      <c r="C50" s="2" t="s">
        <v>762</v>
      </c>
      <c r="D50" t="s">
        <v>6168</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s="13" t="str">
        <f>_xlfn.XLOOKUP(Orders[[#This Row],[Customer ID]],customers!$A$1:$A$1001,customers!$I$1:$I$1001,,0)</f>
        <v>No</v>
      </c>
    </row>
    <row r="51" spans="1:16" x14ac:dyDescent="0.3">
      <c r="A51" s="2" t="s">
        <v>766</v>
      </c>
      <c r="B51" s="3">
        <v>44790</v>
      </c>
      <c r="C51" s="2" t="s">
        <v>767</v>
      </c>
      <c r="D51" t="s">
        <v>6140</v>
      </c>
      <c r="E51" s="2">
        <v>3</v>
      </c>
      <c r="F51" s="2" t="str">
        <f>_xlfn.XLOOKUP(orders!C51,customers!$A$1:$A$1001,customers!$B$1:$B$1001,,0)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s="13" t="str">
        <f>_xlfn.XLOOKUP(Orders[[#This Row],[Customer ID]],customers!$A$1:$A$1001,customers!$I$1:$I$1001,,0)</f>
        <v>No</v>
      </c>
    </row>
    <row r="52" spans="1:16" x14ac:dyDescent="0.3">
      <c r="A52" s="2" t="s">
        <v>772</v>
      </c>
      <c r="B52" s="3">
        <v>44792</v>
      </c>
      <c r="C52" s="2" t="s">
        <v>773</v>
      </c>
      <c r="D52" t="s">
        <v>6169</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s="13" t="str">
        <f>_xlfn.XLOOKUP(Orders[[#This Row],[Customer ID]],customers!$A$1:$A$1001,customers!$I$1:$I$1001,,0)</f>
        <v>No</v>
      </c>
    </row>
    <row r="53" spans="1:16" x14ac:dyDescent="0.3">
      <c r="A53" s="2" t="s">
        <v>778</v>
      </c>
      <c r="B53" s="3">
        <v>43600</v>
      </c>
      <c r="C53" s="2" t="s">
        <v>779</v>
      </c>
      <c r="D53" t="s">
        <v>6164</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s="13" t="str">
        <f>_xlfn.XLOOKUP(Orders[[#This Row],[Customer ID]],customers!$A$1:$A$1001,customers!$I$1:$I$1001,,0)</f>
        <v>Yes</v>
      </c>
    </row>
    <row r="54" spans="1:16" x14ac:dyDescent="0.3">
      <c r="A54" s="2" t="s">
        <v>784</v>
      </c>
      <c r="B54" s="3">
        <v>43719</v>
      </c>
      <c r="C54" s="2" t="s">
        <v>785</v>
      </c>
      <c r="D54" t="s">
        <v>6146</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s="13" t="str">
        <f>_xlfn.XLOOKUP(Orders[[#This Row],[Customer ID]],customers!$A$1:$A$1001,customers!$I$1:$I$1001,,0)</f>
        <v>No</v>
      </c>
    </row>
    <row r="55" spans="1:16" x14ac:dyDescent="0.3">
      <c r="A55" s="2" t="s">
        <v>784</v>
      </c>
      <c r="B55" s="3">
        <v>43719</v>
      </c>
      <c r="C55" s="2" t="s">
        <v>785</v>
      </c>
      <c r="D55" t="s">
        <v>6164</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s="13" t="str">
        <f>_xlfn.XLOOKUP(Orders[[#This Row],[Customer ID]],customers!$A$1:$A$1001,customers!$I$1:$I$1001,,0)</f>
        <v>No</v>
      </c>
    </row>
    <row r="56" spans="1:16" x14ac:dyDescent="0.3">
      <c r="A56" s="2" t="s">
        <v>794</v>
      </c>
      <c r="B56" s="3">
        <v>44271</v>
      </c>
      <c r="C56" s="2" t="s">
        <v>795</v>
      </c>
      <c r="D56" t="s">
        <v>6162</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s="13" t="str">
        <f>_xlfn.XLOOKUP(Orders[[#This Row],[Customer ID]],customers!$A$1:$A$1001,customers!$I$1:$I$1001,,0)</f>
        <v>No</v>
      </c>
    </row>
    <row r="57" spans="1:16" x14ac:dyDescent="0.3">
      <c r="A57" s="2" t="s">
        <v>800</v>
      </c>
      <c r="B57" s="3">
        <v>44168</v>
      </c>
      <c r="C57" s="2" t="s">
        <v>801</v>
      </c>
      <c r="D57" t="s">
        <v>6170</v>
      </c>
      <c r="E57" s="2">
        <v>3</v>
      </c>
      <c r="F57" s="2" t="str">
        <f>_xlfn.XLOOKUP(orders!C57,customers!$A$1:$A$1001,customers!$B$1:$B$1001,,0)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s="13" t="str">
        <f>_xlfn.XLOOKUP(Orders[[#This Row],[Customer ID]],customers!$A$1:$A$1001,customers!$I$1:$I$1001,,0)</f>
        <v>No</v>
      </c>
    </row>
    <row r="58" spans="1:16" x14ac:dyDescent="0.3">
      <c r="A58" s="2" t="s">
        <v>805</v>
      </c>
      <c r="B58" s="3">
        <v>43857</v>
      </c>
      <c r="C58" s="2" t="s">
        <v>806</v>
      </c>
      <c r="D58" t="s">
        <v>6153</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s="13" t="str">
        <f>_xlfn.XLOOKUP(Orders[[#This Row],[Customer ID]],customers!$A$1:$A$1001,customers!$I$1:$I$1001,,0)</f>
        <v>Yes</v>
      </c>
    </row>
    <row r="59" spans="1:16" x14ac:dyDescent="0.3">
      <c r="A59" s="2" t="s">
        <v>811</v>
      </c>
      <c r="B59" s="3">
        <v>44759</v>
      </c>
      <c r="C59" s="2" t="s">
        <v>812</v>
      </c>
      <c r="D59" t="s">
        <v>6171</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s="13" t="str">
        <f>_xlfn.XLOOKUP(Orders[[#This Row],[Customer ID]],customers!$A$1:$A$1001,customers!$I$1:$I$1001,,0)</f>
        <v>No</v>
      </c>
    </row>
    <row r="60" spans="1:16" x14ac:dyDescent="0.3">
      <c r="A60" s="2" t="s">
        <v>817</v>
      </c>
      <c r="B60" s="3">
        <v>44624</v>
      </c>
      <c r="C60" s="2" t="s">
        <v>818</v>
      </c>
      <c r="D60" t="s">
        <v>6165</v>
      </c>
      <c r="E60" s="2">
        <v>3</v>
      </c>
      <c r="F60" s="2" t="str">
        <f>_xlfn.XLOOKUP(orders!C60,customers!$A$1:$A$1001,customers!$B$1:$B$1001,,0)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s="13" t="str">
        <f>_xlfn.XLOOKUP(Orders[[#This Row],[Customer ID]],customers!$A$1:$A$1001,customers!$I$1:$I$1001,,0)</f>
        <v>Yes</v>
      </c>
    </row>
    <row r="61" spans="1:16" x14ac:dyDescent="0.3">
      <c r="A61" s="2" t="s">
        <v>822</v>
      </c>
      <c r="B61" s="3">
        <v>44537</v>
      </c>
      <c r="C61" s="2" t="s">
        <v>823</v>
      </c>
      <c r="D61" t="s">
        <v>6160</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s="13" t="str">
        <f>_xlfn.XLOOKUP(Orders[[#This Row],[Customer ID]],customers!$A$1:$A$1001,customers!$I$1:$I$1001,,0)</f>
        <v>Yes</v>
      </c>
    </row>
    <row r="62" spans="1:16" x14ac:dyDescent="0.3">
      <c r="A62" s="2" t="s">
        <v>827</v>
      </c>
      <c r="B62" s="3">
        <v>44252</v>
      </c>
      <c r="C62" s="2" t="s">
        <v>828</v>
      </c>
      <c r="D62" t="s">
        <v>6168</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s="13" t="str">
        <f>_xlfn.XLOOKUP(Orders[[#This Row],[Customer ID]],customers!$A$1:$A$1001,customers!$I$1:$I$1001,,0)</f>
        <v>No</v>
      </c>
    </row>
    <row r="63" spans="1:16" x14ac:dyDescent="0.3">
      <c r="A63" s="2" t="s">
        <v>833</v>
      </c>
      <c r="B63" s="3">
        <v>43521</v>
      </c>
      <c r="C63" s="2" t="s">
        <v>834</v>
      </c>
      <c r="D63" t="s">
        <v>6172</v>
      </c>
      <c r="E63" s="2">
        <v>5</v>
      </c>
      <c r="F63" s="2" t="str">
        <f>_xlfn.XLOOKUP(orders!C63,customers!$A$1:$A$1001,customers!$B$1:$B$1001,,0)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s="13" t="str">
        <f>_xlfn.XLOOKUP(Orders[[#This Row],[Customer ID]],customers!$A$1:$A$1001,customers!$I$1:$I$1001,,0)</f>
        <v>Yes</v>
      </c>
    </row>
    <row r="64" spans="1:16" x14ac:dyDescent="0.3">
      <c r="A64" s="2" t="s">
        <v>838</v>
      </c>
      <c r="B64" s="3">
        <v>43505</v>
      </c>
      <c r="C64" s="2" t="s">
        <v>839</v>
      </c>
      <c r="D64" t="s">
        <v>6145</v>
      </c>
      <c r="E64" s="2">
        <v>5</v>
      </c>
      <c r="F64" s="2" t="str">
        <f>_xlfn.XLOOKUP(orders!C64,customers!$A$1:$A$1001,customers!$B$1:$B$1001,,0)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s="13" t="str">
        <f>_xlfn.XLOOKUP(Orders[[#This Row],[Customer ID]],customers!$A$1:$A$1001,customers!$I$1:$I$1001,,0)</f>
        <v>Yes</v>
      </c>
    </row>
    <row r="65" spans="1:16" x14ac:dyDescent="0.3">
      <c r="A65" s="2" t="s">
        <v>843</v>
      </c>
      <c r="B65" s="3">
        <v>43868</v>
      </c>
      <c r="C65" s="2" t="s">
        <v>844</v>
      </c>
      <c r="D65" t="s">
        <v>6157</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s="13" t="str">
        <f>_xlfn.XLOOKUP(Orders[[#This Row],[Customer ID]],customers!$A$1:$A$1001,customers!$I$1:$I$1001,,0)</f>
        <v>No</v>
      </c>
    </row>
    <row r="66" spans="1:16" x14ac:dyDescent="0.3">
      <c r="A66" s="2" t="s">
        <v>849</v>
      </c>
      <c r="B66" s="3">
        <v>43913</v>
      </c>
      <c r="C66" s="2" t="s">
        <v>850</v>
      </c>
      <c r="D66" t="s">
        <v>6146</v>
      </c>
      <c r="E66" s="2">
        <v>6</v>
      </c>
      <c r="F66" s="2" t="str">
        <f>_xlfn.XLOOKUP(orders!C66,customers!$A$1:$A$1001,customers!$B$1:$B$1001,,0)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s="13" t="str">
        <f>_xlfn.XLOOKUP(Orders[[#This Row],[Customer ID]],customers!$A$1:$A$1001,customers!$I$1:$I$1001,,0)</f>
        <v>Yes</v>
      </c>
    </row>
    <row r="67" spans="1:16" x14ac:dyDescent="0.3">
      <c r="A67" s="2" t="s">
        <v>854</v>
      </c>
      <c r="B67" s="3">
        <v>44626</v>
      </c>
      <c r="C67" s="2" t="s">
        <v>855</v>
      </c>
      <c r="D67" t="s">
        <v>6149</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s="13" t="str">
        <f>_xlfn.XLOOKUP(Orders[[#This Row],[Customer ID]],customers!$A$1:$A$1001,customers!$I$1:$I$1001,,0)</f>
        <v>Yes</v>
      </c>
    </row>
    <row r="68" spans="1:16" x14ac:dyDescent="0.3">
      <c r="A68" s="2" t="s">
        <v>860</v>
      </c>
      <c r="B68" s="3">
        <v>44666</v>
      </c>
      <c r="C68" s="2" t="s">
        <v>861</v>
      </c>
      <c r="D68" t="s">
        <v>6173</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s="13" t="str">
        <f>_xlfn.XLOOKUP(Orders[[#This Row],[Customer ID]],customers!$A$1:$A$1001,customers!$I$1:$I$1001,,0)</f>
        <v>Yes</v>
      </c>
    </row>
    <row r="69" spans="1:16" x14ac:dyDescent="0.3">
      <c r="A69" s="2" t="s">
        <v>866</v>
      </c>
      <c r="B69" s="3">
        <v>44519</v>
      </c>
      <c r="C69" s="2" t="s">
        <v>867</v>
      </c>
      <c r="D69" t="s">
        <v>6145</v>
      </c>
      <c r="E69" s="2">
        <v>2</v>
      </c>
      <c r="F69" s="2" t="str">
        <f>_xlfn.XLOOKUP(orders!C69,customers!$A$1:$A$1001,customers!$B$1:$B$1001,,0)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s="13" t="str">
        <f>_xlfn.XLOOKUP(Orders[[#This Row],[Customer ID]],customers!$A$1:$A$1001,customers!$I$1:$I$1001,,0)</f>
        <v>No</v>
      </c>
    </row>
    <row r="70" spans="1:16" x14ac:dyDescent="0.3">
      <c r="A70" s="2" t="s">
        <v>872</v>
      </c>
      <c r="B70" s="3">
        <v>43754</v>
      </c>
      <c r="C70" s="2" t="s">
        <v>873</v>
      </c>
      <c r="D70" t="s">
        <v>6174</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s="13" t="str">
        <f>_xlfn.XLOOKUP(Orders[[#This Row],[Customer ID]],customers!$A$1:$A$1001,customers!$I$1:$I$1001,,0)</f>
        <v>No</v>
      </c>
    </row>
    <row r="71" spans="1:16" x14ac:dyDescent="0.3">
      <c r="A71" s="2" t="s">
        <v>878</v>
      </c>
      <c r="B71" s="3">
        <v>43795</v>
      </c>
      <c r="C71" s="2" t="s">
        <v>879</v>
      </c>
      <c r="D71" t="s">
        <v>6138</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s="13" t="str">
        <f>_xlfn.XLOOKUP(Orders[[#This Row],[Customer ID]],customers!$A$1:$A$1001,customers!$I$1:$I$1001,,0)</f>
        <v>Yes</v>
      </c>
    </row>
    <row r="72" spans="1:16" x14ac:dyDescent="0.3">
      <c r="A72" s="2" t="s">
        <v>885</v>
      </c>
      <c r="B72" s="3">
        <v>43646</v>
      </c>
      <c r="C72" s="2" t="s">
        <v>886</v>
      </c>
      <c r="D72" t="s">
        <v>6148</v>
      </c>
      <c r="E72" s="2">
        <v>4</v>
      </c>
      <c r="F72" s="2" t="str">
        <f>_xlfn.XLOOKUP(orders!C72,customers!$A$1:$A$1001,customers!$B$1:$B$1001,,0)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s="13" t="str">
        <f>_xlfn.XLOOKUP(Orders[[#This Row],[Customer ID]],customers!$A$1:$A$1001,customers!$I$1:$I$1001,,0)</f>
        <v>No</v>
      </c>
    </row>
    <row r="73" spans="1:16" x14ac:dyDescent="0.3">
      <c r="A73" s="2" t="s">
        <v>891</v>
      </c>
      <c r="B73" s="3">
        <v>44200</v>
      </c>
      <c r="C73" s="2" t="s">
        <v>892</v>
      </c>
      <c r="D73" t="s">
        <v>6145</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s="13" t="str">
        <f>_xlfn.XLOOKUP(Orders[[#This Row],[Customer ID]],customers!$A$1:$A$1001,customers!$I$1:$I$1001,,0)</f>
        <v>No</v>
      </c>
    </row>
    <row r="74" spans="1:16" x14ac:dyDescent="0.3">
      <c r="A74" s="2" t="s">
        <v>897</v>
      </c>
      <c r="B74" s="3">
        <v>44131</v>
      </c>
      <c r="C74" s="2" t="s">
        <v>898</v>
      </c>
      <c r="D74" t="s">
        <v>6175</v>
      </c>
      <c r="E74" s="2">
        <v>3</v>
      </c>
      <c r="F74" s="2" t="str">
        <f>_xlfn.XLOOKUP(orders!C74,customers!$A$1:$A$1001,customers!$B$1:$B$1001,,0)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s="13" t="str">
        <f>_xlfn.XLOOKUP(Orders[[#This Row],[Customer ID]],customers!$A$1:$A$1001,customers!$I$1:$I$1001,,0)</f>
        <v>No</v>
      </c>
    </row>
    <row r="75" spans="1:16" x14ac:dyDescent="0.3">
      <c r="A75" s="2" t="s">
        <v>902</v>
      </c>
      <c r="B75" s="3">
        <v>44362</v>
      </c>
      <c r="C75" s="2" t="s">
        <v>903</v>
      </c>
      <c r="D75" t="s">
        <v>6159</v>
      </c>
      <c r="E75" s="2">
        <v>5</v>
      </c>
      <c r="F75" s="2" t="str">
        <f>_xlfn.XLOOKUP(orders!C75,customers!$A$1:$A$1001,customers!$B$1:$B$1001,,0)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s="13" t="str">
        <f>_xlfn.XLOOKUP(Orders[[#This Row],[Customer ID]],customers!$A$1:$A$1001,customers!$I$1:$I$1001,,0)</f>
        <v>Yes</v>
      </c>
    </row>
    <row r="76" spans="1:16" x14ac:dyDescent="0.3">
      <c r="A76" s="2" t="s">
        <v>907</v>
      </c>
      <c r="B76" s="3">
        <v>44396</v>
      </c>
      <c r="C76" s="2" t="s">
        <v>908</v>
      </c>
      <c r="D76" t="s">
        <v>6176</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s="13" t="str">
        <f>_xlfn.XLOOKUP(Orders[[#This Row],[Customer ID]],customers!$A$1:$A$1001,customers!$I$1:$I$1001,,0)</f>
        <v>Yes</v>
      </c>
    </row>
    <row r="77" spans="1:16" x14ac:dyDescent="0.3">
      <c r="A77" s="2" t="s">
        <v>913</v>
      </c>
      <c r="B77" s="3">
        <v>44400</v>
      </c>
      <c r="C77" s="2" t="s">
        <v>914</v>
      </c>
      <c r="D77" t="s">
        <v>6177</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s="13" t="str">
        <f>_xlfn.XLOOKUP(Orders[[#This Row],[Customer ID]],customers!$A$1:$A$1001,customers!$I$1:$I$1001,,0)</f>
        <v>Yes</v>
      </c>
    </row>
    <row r="78" spans="1:16" x14ac:dyDescent="0.3">
      <c r="A78" s="2" t="s">
        <v>919</v>
      </c>
      <c r="B78" s="3">
        <v>43855</v>
      </c>
      <c r="C78" s="2" t="s">
        <v>920</v>
      </c>
      <c r="D78" t="s">
        <v>6178</v>
      </c>
      <c r="E78" s="2">
        <v>1</v>
      </c>
      <c r="F78" s="2" t="str">
        <f>_xlfn.XLOOKUP(orders!C78,customers!$A$1:$A$1001,customers!$B$1:$B$1001,,0)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s="13" t="str">
        <f>_xlfn.XLOOKUP(Orders[[#This Row],[Customer ID]],customers!$A$1:$A$1001,customers!$I$1:$I$1001,,0)</f>
        <v>Yes</v>
      </c>
    </row>
    <row r="79" spans="1:16" x14ac:dyDescent="0.3">
      <c r="A79" s="2" t="s">
        <v>924</v>
      </c>
      <c r="B79" s="3">
        <v>43594</v>
      </c>
      <c r="C79" s="2" t="s">
        <v>925</v>
      </c>
      <c r="D79" t="s">
        <v>6153</v>
      </c>
      <c r="E79" s="2">
        <v>2</v>
      </c>
      <c r="F79" s="2" t="str">
        <f>_xlfn.XLOOKUP(orders!C79,customers!$A$1:$A$1001,customers!$B$1:$B$1001,,0)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s="13" t="str">
        <f>_xlfn.XLOOKUP(Orders[[#This Row],[Customer ID]],customers!$A$1:$A$1001,customers!$I$1:$I$1001,,0)</f>
        <v>No</v>
      </c>
    </row>
    <row r="80" spans="1:16" x14ac:dyDescent="0.3">
      <c r="A80" s="2" t="s">
        <v>930</v>
      </c>
      <c r="B80" s="3">
        <v>43920</v>
      </c>
      <c r="C80" s="2" t="s">
        <v>931</v>
      </c>
      <c r="D80" t="s">
        <v>6157</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s="13" t="str">
        <f>_xlfn.XLOOKUP(Orders[[#This Row],[Customer ID]],customers!$A$1:$A$1001,customers!$I$1:$I$1001,,0)</f>
        <v>Yes</v>
      </c>
    </row>
    <row r="81" spans="1:16" x14ac:dyDescent="0.3">
      <c r="A81" s="2" t="s">
        <v>936</v>
      </c>
      <c r="B81" s="3">
        <v>44633</v>
      </c>
      <c r="C81" s="2" t="s">
        <v>937</v>
      </c>
      <c r="D81" t="s">
        <v>6179</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s="13" t="str">
        <f>_xlfn.XLOOKUP(Orders[[#This Row],[Customer ID]],customers!$A$1:$A$1001,customers!$I$1:$I$1001,,0)</f>
        <v>No</v>
      </c>
    </row>
    <row r="82" spans="1:16" x14ac:dyDescent="0.3">
      <c r="A82" s="2" t="s">
        <v>942</v>
      </c>
      <c r="B82" s="3">
        <v>43572</v>
      </c>
      <c r="C82" s="2" t="s">
        <v>943</v>
      </c>
      <c r="D82" t="s">
        <v>6180</v>
      </c>
      <c r="E82" s="2">
        <v>5</v>
      </c>
      <c r="F82" s="2" t="str">
        <f>_xlfn.XLOOKUP(orders!C82,customers!$A$1:$A$1001,customers!$B$1:$B$1001,,0)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s="13" t="str">
        <f>_xlfn.XLOOKUP(Orders[[#This Row],[Customer ID]],customers!$A$1:$A$1001,customers!$I$1:$I$1001,,0)</f>
        <v>Yes</v>
      </c>
    </row>
    <row r="83" spans="1:16" x14ac:dyDescent="0.3">
      <c r="A83" s="2" t="s">
        <v>948</v>
      </c>
      <c r="B83" s="3">
        <v>43763</v>
      </c>
      <c r="C83" s="2" t="s">
        <v>949</v>
      </c>
      <c r="D83" t="s">
        <v>6164</v>
      </c>
      <c r="E83" s="2">
        <v>3</v>
      </c>
      <c r="F83" s="2" t="str">
        <f>_xlfn.XLOOKUP(orders!C83,customers!$A$1:$A$1001,customers!$B$1:$B$1001,,0)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s="13" t="str">
        <f>_xlfn.XLOOKUP(Orders[[#This Row],[Customer ID]],customers!$A$1:$A$1001,customers!$I$1:$I$1001,,0)</f>
        <v>Yes</v>
      </c>
    </row>
    <row r="84" spans="1:16" x14ac:dyDescent="0.3">
      <c r="A84" s="2" t="s">
        <v>954</v>
      </c>
      <c r="B84" s="3">
        <v>43721</v>
      </c>
      <c r="C84" s="2" t="s">
        <v>955</v>
      </c>
      <c r="D84" t="s">
        <v>6181</v>
      </c>
      <c r="E84" s="2">
        <v>3</v>
      </c>
      <c r="F84" s="2" t="str">
        <f>_xlfn.XLOOKUP(orders!C84,customers!$A$1:$A$1001,customers!$B$1:$B$1001,,0)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s="13" t="str">
        <f>_xlfn.XLOOKUP(Orders[[#This Row],[Customer ID]],customers!$A$1:$A$1001,customers!$I$1:$I$1001,,0)</f>
        <v>Yes</v>
      </c>
    </row>
    <row r="85" spans="1:16" x14ac:dyDescent="0.3">
      <c r="A85" s="2" t="s">
        <v>960</v>
      </c>
      <c r="B85" s="3">
        <v>43933</v>
      </c>
      <c r="C85" s="2" t="s">
        <v>961</v>
      </c>
      <c r="D85" t="s">
        <v>6149</v>
      </c>
      <c r="E85" s="2">
        <v>4</v>
      </c>
      <c r="F85" s="2" t="str">
        <f>_xlfn.XLOOKUP(orders!C85,customers!$A$1:$A$1001,customers!$B$1:$B$1001,,0)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s="13" t="str">
        <f>_xlfn.XLOOKUP(Orders[[#This Row],[Customer ID]],customers!$A$1:$A$1001,customers!$I$1:$I$1001,,0)</f>
        <v>Yes</v>
      </c>
    </row>
    <row r="86" spans="1:16" x14ac:dyDescent="0.3">
      <c r="A86" s="2" t="s">
        <v>965</v>
      </c>
      <c r="B86" s="3">
        <v>43783</v>
      </c>
      <c r="C86" s="2" t="s">
        <v>966</v>
      </c>
      <c r="D86" t="s">
        <v>6161</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s="13" t="str">
        <f>_xlfn.XLOOKUP(Orders[[#This Row],[Customer ID]],customers!$A$1:$A$1001,customers!$I$1:$I$1001,,0)</f>
        <v>No</v>
      </c>
    </row>
    <row r="87" spans="1:16" x14ac:dyDescent="0.3">
      <c r="A87" s="2" t="s">
        <v>971</v>
      </c>
      <c r="B87" s="3">
        <v>43664</v>
      </c>
      <c r="C87" s="2" t="s">
        <v>972</v>
      </c>
      <c r="D87" t="s">
        <v>6182</v>
      </c>
      <c r="E87" s="2">
        <v>3</v>
      </c>
      <c r="F87" s="2" t="str">
        <f>_xlfn.XLOOKUP(orders!C87,customers!$A$1:$A$1001,customers!$B$1:$B$1001,,0)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s="13" t="str">
        <f>_xlfn.XLOOKUP(Orders[[#This Row],[Customer ID]],customers!$A$1:$A$1001,customers!$I$1:$I$1001,,0)</f>
        <v>No</v>
      </c>
    </row>
    <row r="88" spans="1:16" x14ac:dyDescent="0.3">
      <c r="A88" s="2" t="s">
        <v>971</v>
      </c>
      <c r="B88" s="3">
        <v>43664</v>
      </c>
      <c r="C88" s="2" t="s">
        <v>972</v>
      </c>
      <c r="D88" t="s">
        <v>6154</v>
      </c>
      <c r="E88" s="2">
        <v>4</v>
      </c>
      <c r="F88" s="2" t="str">
        <f>_xlfn.XLOOKUP(orders!C88,customers!$A$1:$A$1001,customers!$B$1:$B$1001,,0)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s="13" t="str">
        <f>_xlfn.XLOOKUP(Orders[[#This Row],[Customer ID]],customers!$A$1:$A$1001,customers!$I$1:$I$1001,,0)</f>
        <v>No</v>
      </c>
    </row>
    <row r="89" spans="1:16" x14ac:dyDescent="0.3">
      <c r="A89" s="2" t="s">
        <v>980</v>
      </c>
      <c r="B89" s="3">
        <v>44289</v>
      </c>
      <c r="C89" s="2" t="s">
        <v>981</v>
      </c>
      <c r="D89" t="s">
        <v>6155</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s="13" t="str">
        <f>_xlfn.XLOOKUP(Orders[[#This Row],[Customer ID]],customers!$A$1:$A$1001,customers!$I$1:$I$1001,,0)</f>
        <v>No</v>
      </c>
    </row>
    <row r="90" spans="1:16" x14ac:dyDescent="0.3">
      <c r="A90" s="2" t="s">
        <v>985</v>
      </c>
      <c r="B90" s="3">
        <v>44284</v>
      </c>
      <c r="C90" s="2" t="s">
        <v>986</v>
      </c>
      <c r="D90" t="s">
        <v>6179</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s="13" t="str">
        <f>_xlfn.XLOOKUP(Orders[[#This Row],[Customer ID]],customers!$A$1:$A$1001,customers!$I$1:$I$1001,,0)</f>
        <v>No</v>
      </c>
    </row>
    <row r="91" spans="1:16" x14ac:dyDescent="0.3">
      <c r="A91" s="2" t="s">
        <v>990</v>
      </c>
      <c r="B91" s="3">
        <v>44545</v>
      </c>
      <c r="C91" s="2" t="s">
        <v>991</v>
      </c>
      <c r="D91" t="s">
        <v>6140</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s="13" t="str">
        <f>_xlfn.XLOOKUP(Orders[[#This Row],[Customer ID]],customers!$A$1:$A$1001,customers!$I$1:$I$1001,,0)</f>
        <v>No</v>
      </c>
    </row>
    <row r="92" spans="1:16" x14ac:dyDescent="0.3">
      <c r="A92" s="2" t="s">
        <v>996</v>
      </c>
      <c r="B92" s="3">
        <v>43971</v>
      </c>
      <c r="C92" s="2" t="s">
        <v>997</v>
      </c>
      <c r="D92" t="s">
        <v>6140</v>
      </c>
      <c r="E92" s="2">
        <v>4</v>
      </c>
      <c r="F92" s="2" t="str">
        <f>_xlfn.XLOOKUP(orders!C92,customers!$A$1:$A$1001,customers!$B$1:$B$1001,,0)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s="13" t="str">
        <f>_xlfn.XLOOKUP(Orders[[#This Row],[Customer ID]],customers!$A$1:$A$1001,customers!$I$1:$I$1001,,0)</f>
        <v>Yes</v>
      </c>
    </row>
    <row r="93" spans="1:16" x14ac:dyDescent="0.3">
      <c r="A93" s="2" t="s">
        <v>1001</v>
      </c>
      <c r="B93" s="3">
        <v>44137</v>
      </c>
      <c r="C93" s="2" t="s">
        <v>1002</v>
      </c>
      <c r="D93" t="s">
        <v>6175</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s="13" t="str">
        <f>_xlfn.XLOOKUP(Orders[[#This Row],[Customer ID]],customers!$A$1:$A$1001,customers!$I$1:$I$1001,,0)</f>
        <v>No</v>
      </c>
    </row>
    <row r="94" spans="1:16" x14ac:dyDescent="0.3">
      <c r="A94" s="2" t="s">
        <v>1007</v>
      </c>
      <c r="B94" s="3">
        <v>44037</v>
      </c>
      <c r="C94" s="2" t="s">
        <v>1008</v>
      </c>
      <c r="D94" t="s">
        <v>6171</v>
      </c>
      <c r="E94" s="2">
        <v>3</v>
      </c>
      <c r="F94" s="2" t="str">
        <f>_xlfn.XLOOKUP(orders!C94,customers!$A$1:$A$1001,customers!$B$1:$B$1001,,0)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s="13" t="str">
        <f>_xlfn.XLOOKUP(Orders[[#This Row],[Customer ID]],customers!$A$1:$A$1001,customers!$I$1:$I$1001,,0)</f>
        <v>Yes</v>
      </c>
    </row>
    <row r="95" spans="1:16" x14ac:dyDescent="0.3">
      <c r="A95" s="2" t="s">
        <v>1012</v>
      </c>
      <c r="B95" s="3">
        <v>43538</v>
      </c>
      <c r="C95" s="2" t="s">
        <v>1013</v>
      </c>
      <c r="D95" t="s">
        <v>6176</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s="13" t="str">
        <f>_xlfn.XLOOKUP(Orders[[#This Row],[Customer ID]],customers!$A$1:$A$1001,customers!$I$1:$I$1001,,0)</f>
        <v>Yes</v>
      </c>
    </row>
    <row r="96" spans="1:16" x14ac:dyDescent="0.3">
      <c r="A96" s="2" t="s">
        <v>1018</v>
      </c>
      <c r="B96" s="3">
        <v>44014</v>
      </c>
      <c r="C96" s="2" t="s">
        <v>1019</v>
      </c>
      <c r="D96" t="s">
        <v>6154</v>
      </c>
      <c r="E96" s="2">
        <v>6</v>
      </c>
      <c r="F96" s="2" t="str">
        <f>_xlfn.XLOOKUP(orders!C96,customers!$A$1:$A$1001,customers!$B$1:$B$1001,,0)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s="13" t="str">
        <f>_xlfn.XLOOKUP(Orders[[#This Row],[Customer ID]],customers!$A$1:$A$1001,customers!$I$1:$I$1001,,0)</f>
        <v>Yes</v>
      </c>
    </row>
    <row r="97" spans="1:16" x14ac:dyDescent="0.3">
      <c r="A97" s="2" t="s">
        <v>1022</v>
      </c>
      <c r="B97" s="3">
        <v>43816</v>
      </c>
      <c r="C97" s="2" t="s">
        <v>1023</v>
      </c>
      <c r="D97" t="s">
        <v>6175</v>
      </c>
      <c r="E97" s="2">
        <v>6</v>
      </c>
      <c r="F97" s="2" t="str">
        <f>_xlfn.XLOOKUP(orders!C97,customers!$A$1:$A$1001,customers!$B$1:$B$1001,,0)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s="13" t="str">
        <f>_xlfn.XLOOKUP(Orders[[#This Row],[Customer ID]],customers!$A$1:$A$1001,customers!$I$1:$I$1001,,0)</f>
        <v>No</v>
      </c>
    </row>
    <row r="98" spans="1:16" x14ac:dyDescent="0.3">
      <c r="A98" s="2" t="s">
        <v>1027</v>
      </c>
      <c r="B98" s="3">
        <v>44171</v>
      </c>
      <c r="C98" s="2" t="s">
        <v>1028</v>
      </c>
      <c r="D98" t="s">
        <v>6154</v>
      </c>
      <c r="E98" s="2">
        <v>2</v>
      </c>
      <c r="F98" s="2" t="str">
        <f>_xlfn.XLOOKUP(orders!C98,customers!$A$1:$A$1001,customers!$B$1:$B$1001,,0)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s="13" t="str">
        <f>_xlfn.XLOOKUP(Orders[[#This Row],[Customer ID]],customers!$A$1:$A$1001,customers!$I$1:$I$1001,,0)</f>
        <v>No</v>
      </c>
    </row>
    <row r="99" spans="1:16" x14ac:dyDescent="0.3">
      <c r="A99" s="2" t="s">
        <v>1032</v>
      </c>
      <c r="B99" s="3">
        <v>44259</v>
      </c>
      <c r="C99" s="2" t="s">
        <v>1033</v>
      </c>
      <c r="D99" t="s">
        <v>6157</v>
      </c>
      <c r="E99" s="2">
        <v>2</v>
      </c>
      <c r="F99" s="2" t="str">
        <f>_xlfn.XLOOKUP(orders!C99,customers!$A$1:$A$1001,customers!$B$1:$B$1001,,0)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s="13" t="str">
        <f>_xlfn.XLOOKUP(Orders[[#This Row],[Customer ID]],customers!$A$1:$A$1001,customers!$I$1:$I$1001,,0)</f>
        <v>No</v>
      </c>
    </row>
    <row r="100" spans="1:16" x14ac:dyDescent="0.3">
      <c r="A100" s="2" t="s">
        <v>1038</v>
      </c>
      <c r="B100" s="3">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s="13" t="str">
        <f>_xlfn.XLOOKUP(Orders[[#This Row],[Customer ID]],customers!$A$1:$A$1001,customers!$I$1:$I$1001,,0)</f>
        <v>No</v>
      </c>
    </row>
    <row r="101" spans="1:16" x14ac:dyDescent="0.3">
      <c r="A101" s="2" t="s">
        <v>1043</v>
      </c>
      <c r="B101" s="3">
        <v>44139</v>
      </c>
      <c r="C101" s="2" t="s">
        <v>1044</v>
      </c>
      <c r="D101" t="s">
        <v>6159</v>
      </c>
      <c r="E101" s="2">
        <v>3</v>
      </c>
      <c r="F101" s="2" t="str">
        <f>_xlfn.XLOOKUP(orders!C101,customers!$A$1:$A$1001,customers!$B$1:$B$1001,,0)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s="13" t="str">
        <f>_xlfn.XLOOKUP(Orders[[#This Row],[Customer ID]],customers!$A$1:$A$1001,customers!$I$1:$I$1001,,0)</f>
        <v>Yes</v>
      </c>
    </row>
    <row r="102" spans="1:16" x14ac:dyDescent="0.3">
      <c r="A102" s="2" t="s">
        <v>1048</v>
      </c>
      <c r="B102" s="3">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s="13" t="str">
        <f>_xlfn.XLOOKUP(Orders[[#This Row],[Customer ID]],customers!$A$1:$A$1001,customers!$I$1:$I$1001,,0)</f>
        <v>Yes</v>
      </c>
    </row>
    <row r="103" spans="1:16" x14ac:dyDescent="0.3">
      <c r="A103" s="2" t="s">
        <v>1053</v>
      </c>
      <c r="B103" s="3">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s="13" t="str">
        <f>_xlfn.XLOOKUP(Orders[[#This Row],[Customer ID]],customers!$A$1:$A$1001,customers!$I$1:$I$1001,,0)</f>
        <v>Yes</v>
      </c>
    </row>
    <row r="104" spans="1:16" x14ac:dyDescent="0.3">
      <c r="A104" s="2" t="s">
        <v>1059</v>
      </c>
      <c r="B104" s="3">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s="13" t="str">
        <f>_xlfn.XLOOKUP(Orders[[#This Row],[Customer ID]],customers!$A$1:$A$1001,customers!$I$1:$I$1001,,0)</f>
        <v>Yes</v>
      </c>
    </row>
    <row r="105" spans="1:16" x14ac:dyDescent="0.3">
      <c r="A105" s="2" t="s">
        <v>1065</v>
      </c>
      <c r="B105" s="3">
        <v>44750</v>
      </c>
      <c r="C105" s="2" t="s">
        <v>1066</v>
      </c>
      <c r="D105" t="s">
        <v>6174</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s="13" t="str">
        <f>_xlfn.XLOOKUP(Orders[[#This Row],[Customer ID]],customers!$A$1:$A$1001,customers!$I$1:$I$1001,,0)</f>
        <v>No</v>
      </c>
    </row>
    <row r="106" spans="1:16" x14ac:dyDescent="0.3">
      <c r="A106" s="2" t="s">
        <v>1071</v>
      </c>
      <c r="B106" s="3">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s="13" t="str">
        <f>_xlfn.XLOOKUP(Orders[[#This Row],[Customer ID]],customers!$A$1:$A$1001,customers!$I$1:$I$1001,,0)</f>
        <v>No</v>
      </c>
    </row>
    <row r="107" spans="1:16" x14ac:dyDescent="0.3">
      <c r="A107" s="2" t="s">
        <v>1077</v>
      </c>
      <c r="B107" s="3">
        <v>43982</v>
      </c>
      <c r="C107" s="2" t="s">
        <v>1078</v>
      </c>
      <c r="D107" t="s">
        <v>6157</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s="13" t="str">
        <f>_xlfn.XLOOKUP(Orders[[#This Row],[Customer ID]],customers!$A$1:$A$1001,customers!$I$1:$I$1001,,0)</f>
        <v>Yes</v>
      </c>
    </row>
    <row r="108" spans="1:16" x14ac:dyDescent="0.3">
      <c r="A108" s="2" t="s">
        <v>1083</v>
      </c>
      <c r="B108" s="3">
        <v>43956</v>
      </c>
      <c r="C108" s="2" t="s">
        <v>1084</v>
      </c>
      <c r="D108" t="s">
        <v>6183</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s="13" t="str">
        <f>_xlfn.XLOOKUP(Orders[[#This Row],[Customer ID]],customers!$A$1:$A$1001,customers!$I$1:$I$1001,,0)</f>
        <v>No</v>
      </c>
    </row>
    <row r="109" spans="1:16" x14ac:dyDescent="0.3">
      <c r="A109" s="2" t="s">
        <v>1089</v>
      </c>
      <c r="B109" s="3">
        <v>43569</v>
      </c>
      <c r="C109" s="2" t="s">
        <v>1090</v>
      </c>
      <c r="D109" t="s">
        <v>6146</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s="13" t="str">
        <f>_xlfn.XLOOKUP(Orders[[#This Row],[Customer ID]],customers!$A$1:$A$1001,customers!$I$1:$I$1001,,0)</f>
        <v>Yes</v>
      </c>
    </row>
    <row r="110" spans="1:16" x14ac:dyDescent="0.3">
      <c r="A110" s="2" t="s">
        <v>1095</v>
      </c>
      <c r="B110" s="3">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s="13" t="str">
        <f>_xlfn.XLOOKUP(Orders[[#This Row],[Customer ID]],customers!$A$1:$A$1001,customers!$I$1:$I$1001,,0)</f>
        <v>No</v>
      </c>
    </row>
    <row r="111" spans="1:16" x14ac:dyDescent="0.3">
      <c r="A111" s="2" t="s">
        <v>1100</v>
      </c>
      <c r="B111" s="3">
        <v>43811</v>
      </c>
      <c r="C111" s="2" t="s">
        <v>1101</v>
      </c>
      <c r="D111" t="s">
        <v>6169</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s="13" t="str">
        <f>_xlfn.XLOOKUP(Orders[[#This Row],[Customer ID]],customers!$A$1:$A$1001,customers!$I$1:$I$1001,,0)</f>
        <v>Yes</v>
      </c>
    </row>
    <row r="112" spans="1:16" x14ac:dyDescent="0.3">
      <c r="A112" s="2" t="s">
        <v>1106</v>
      </c>
      <c r="B112" s="3">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s="13" t="str">
        <f>_xlfn.XLOOKUP(Orders[[#This Row],[Customer ID]],customers!$A$1:$A$1001,customers!$I$1:$I$1001,,0)</f>
        <v>Yes</v>
      </c>
    </row>
    <row r="113" spans="1:16" x14ac:dyDescent="0.3">
      <c r="A113" s="2" t="s">
        <v>1112</v>
      </c>
      <c r="B113" s="3">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s="13" t="str">
        <f>_xlfn.XLOOKUP(Orders[[#This Row],[Customer ID]],customers!$A$1:$A$1001,customers!$I$1:$I$1001,,0)</f>
        <v>No</v>
      </c>
    </row>
    <row r="114" spans="1:16" x14ac:dyDescent="0.3">
      <c r="A114" s="2" t="s">
        <v>1117</v>
      </c>
      <c r="B114" s="3">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s="13" t="str">
        <f>_xlfn.XLOOKUP(Orders[[#This Row],[Customer ID]],customers!$A$1:$A$1001,customers!$I$1:$I$1001,,0)</f>
        <v>No</v>
      </c>
    </row>
    <row r="115" spans="1:16" x14ac:dyDescent="0.3">
      <c r="A115" s="2" t="s">
        <v>1123</v>
      </c>
      <c r="B115" s="3">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s="13" t="str">
        <f>_xlfn.XLOOKUP(Orders[[#This Row],[Customer ID]],customers!$A$1:$A$1001,customers!$I$1:$I$1001,,0)</f>
        <v>No</v>
      </c>
    </row>
    <row r="116" spans="1:16" x14ac:dyDescent="0.3">
      <c r="A116" s="2" t="s">
        <v>1129</v>
      </c>
      <c r="B116" s="3">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s="13" t="str">
        <f>_xlfn.XLOOKUP(Orders[[#This Row],[Customer ID]],customers!$A$1:$A$1001,customers!$I$1:$I$1001,,0)</f>
        <v>No</v>
      </c>
    </row>
    <row r="117" spans="1:16" x14ac:dyDescent="0.3">
      <c r="A117" s="2" t="s">
        <v>1134</v>
      </c>
      <c r="B117" s="3">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s="13" t="str">
        <f>_xlfn.XLOOKUP(Orders[[#This Row],[Customer ID]],customers!$A$1:$A$1001,customers!$I$1:$I$1001,,0)</f>
        <v>No</v>
      </c>
    </row>
    <row r="118" spans="1:16" x14ac:dyDescent="0.3">
      <c r="A118" s="2" t="s">
        <v>1140</v>
      </c>
      <c r="B118" s="3">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s="13" t="str">
        <f>_xlfn.XLOOKUP(Orders[[#This Row],[Customer ID]],customers!$A$1:$A$1001,customers!$I$1:$I$1001,,0)</f>
        <v>Yes</v>
      </c>
    </row>
    <row r="119" spans="1:16" x14ac:dyDescent="0.3">
      <c r="A119" s="2" t="s">
        <v>1146</v>
      </c>
      <c r="B119" s="3">
        <v>44656</v>
      </c>
      <c r="C119" s="2" t="s">
        <v>1147</v>
      </c>
      <c r="D119" t="s">
        <v>6161</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s="13" t="str">
        <f>_xlfn.XLOOKUP(Orders[[#This Row],[Customer ID]],customers!$A$1:$A$1001,customers!$I$1:$I$1001,,0)</f>
        <v>No</v>
      </c>
    </row>
    <row r="120" spans="1:16" x14ac:dyDescent="0.3">
      <c r="A120" s="2" t="s">
        <v>1152</v>
      </c>
      <c r="B120" s="3">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s="13" t="str">
        <f>_xlfn.XLOOKUP(Orders[[#This Row],[Customer ID]],customers!$A$1:$A$1001,customers!$I$1:$I$1001,,0)</f>
        <v>Yes</v>
      </c>
    </row>
    <row r="121" spans="1:16" x14ac:dyDescent="0.3">
      <c r="A121" s="2" t="s">
        <v>1158</v>
      </c>
      <c r="B121" s="3">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s="13" t="str">
        <f>_xlfn.XLOOKUP(Orders[[#This Row],[Customer ID]],customers!$A$1:$A$1001,customers!$I$1:$I$1001,,0)</f>
        <v>No</v>
      </c>
    </row>
    <row r="122" spans="1:16" x14ac:dyDescent="0.3">
      <c r="A122" s="2" t="s">
        <v>1158</v>
      </c>
      <c r="B122" s="3">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s="13" t="str">
        <f>_xlfn.XLOOKUP(Orders[[#This Row],[Customer ID]],customers!$A$1:$A$1001,customers!$I$1:$I$1001,,0)</f>
        <v>No</v>
      </c>
    </row>
    <row r="123" spans="1:16" x14ac:dyDescent="0.3">
      <c r="A123" s="2" t="s">
        <v>1158</v>
      </c>
      <c r="B123" s="3">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s="13" t="str">
        <f>_xlfn.XLOOKUP(Orders[[#This Row],[Customer ID]],customers!$A$1:$A$1001,customers!$I$1:$I$1001,,0)</f>
        <v>No</v>
      </c>
    </row>
    <row r="124" spans="1:16" x14ac:dyDescent="0.3">
      <c r="A124" s="2" t="s">
        <v>1174</v>
      </c>
      <c r="B124" s="3">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s="13" t="str">
        <f>_xlfn.XLOOKUP(Orders[[#This Row],[Customer ID]],customers!$A$1:$A$1001,customers!$I$1:$I$1001,,0)</f>
        <v>Yes</v>
      </c>
    </row>
    <row r="125" spans="1:16" x14ac:dyDescent="0.3">
      <c r="A125" s="2" t="s">
        <v>1180</v>
      </c>
      <c r="B125" s="3">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s="13" t="str">
        <f>_xlfn.XLOOKUP(Orders[[#This Row],[Customer ID]],customers!$A$1:$A$1001,customers!$I$1:$I$1001,,0)</f>
        <v>No</v>
      </c>
    </row>
    <row r="126" spans="1:16" x14ac:dyDescent="0.3">
      <c r="A126" s="2" t="s">
        <v>1186</v>
      </c>
      <c r="B126" s="3">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s="13" t="str">
        <f>_xlfn.XLOOKUP(Orders[[#This Row],[Customer ID]],customers!$A$1:$A$1001,customers!$I$1:$I$1001,,0)</f>
        <v>Yes</v>
      </c>
    </row>
    <row r="127" spans="1:16" x14ac:dyDescent="0.3">
      <c r="A127" s="2" t="s">
        <v>1192</v>
      </c>
      <c r="B127" s="3">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s="13" t="str">
        <f>_xlfn.XLOOKUP(Orders[[#This Row],[Customer ID]],customers!$A$1:$A$1001,customers!$I$1:$I$1001,,0)</f>
        <v>Yes</v>
      </c>
    </row>
    <row r="128" spans="1:16" x14ac:dyDescent="0.3">
      <c r="A128" s="2" t="s">
        <v>1198</v>
      </c>
      <c r="B128" s="3">
        <v>44026</v>
      </c>
      <c r="C128" s="2" t="s">
        <v>1199</v>
      </c>
      <c r="D128" t="s">
        <v>6155</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s="13" t="str">
        <f>_xlfn.XLOOKUP(Orders[[#This Row],[Customer ID]],customers!$A$1:$A$1001,customers!$I$1:$I$1001,,0)</f>
        <v>No</v>
      </c>
    </row>
    <row r="129" spans="1:16" x14ac:dyDescent="0.3">
      <c r="A129" s="2" t="s">
        <v>1204</v>
      </c>
      <c r="B129" s="3">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s="13" t="str">
        <f>_xlfn.XLOOKUP(Orders[[#This Row],[Customer ID]],customers!$A$1:$A$1001,customers!$I$1:$I$1001,,0)</f>
        <v>No</v>
      </c>
    </row>
    <row r="130" spans="1:16" x14ac:dyDescent="0.3">
      <c r="A130" s="2" t="s">
        <v>1210</v>
      </c>
      <c r="B130" s="3">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s="13" t="str">
        <f>_xlfn.XLOOKUP(Orders[[#This Row],[Customer ID]],customers!$A$1:$A$1001,customers!$I$1:$I$1001,,0)</f>
        <v>No</v>
      </c>
    </row>
    <row r="131" spans="1:16" x14ac:dyDescent="0.3">
      <c r="A131" s="2" t="s">
        <v>1216</v>
      </c>
      <c r="B131" s="3">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s="13" t="str">
        <f>_xlfn.XLOOKUP(Orders[[#This Row],[Customer ID]],customers!$A$1:$A$1001,customers!$I$1:$I$1001,,0)</f>
        <v>Yes</v>
      </c>
    </row>
    <row r="132" spans="1:16" x14ac:dyDescent="0.3">
      <c r="A132" s="2" t="s">
        <v>1222</v>
      </c>
      <c r="B132" s="3">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s="13" t="str">
        <f>_xlfn.XLOOKUP(Orders[[#This Row],[Customer ID]],customers!$A$1:$A$1001,customers!$I$1:$I$1001,,0)</f>
        <v>Yes</v>
      </c>
    </row>
    <row r="133" spans="1:16" x14ac:dyDescent="0.3">
      <c r="A133" s="2" t="s">
        <v>1227</v>
      </c>
      <c r="B133" s="3">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s="13" t="str">
        <f>_xlfn.XLOOKUP(Orders[[#This Row],[Customer ID]],customers!$A$1:$A$1001,customers!$I$1:$I$1001,,0)</f>
        <v>Yes</v>
      </c>
    </row>
    <row r="134" spans="1:16" x14ac:dyDescent="0.3">
      <c r="A134" s="2" t="s">
        <v>1233</v>
      </c>
      <c r="B134" s="3">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s="13" t="str">
        <f>_xlfn.XLOOKUP(Orders[[#This Row],[Customer ID]],customers!$A$1:$A$1001,customers!$I$1:$I$1001,,0)</f>
        <v>Yes</v>
      </c>
    </row>
    <row r="135" spans="1:16" x14ac:dyDescent="0.3">
      <c r="A135" s="2" t="s">
        <v>1239</v>
      </c>
      <c r="B135" s="3">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s="13" t="str">
        <f>_xlfn.XLOOKUP(Orders[[#This Row],[Customer ID]],customers!$A$1:$A$1001,customers!$I$1:$I$1001,,0)</f>
        <v>No</v>
      </c>
    </row>
    <row r="136" spans="1:16" x14ac:dyDescent="0.3">
      <c r="A136" s="2" t="s">
        <v>1245</v>
      </c>
      <c r="B136" s="3">
        <v>44758</v>
      </c>
      <c r="C136" s="2" t="s">
        <v>1246</v>
      </c>
      <c r="D136" t="s">
        <v>6166</v>
      </c>
      <c r="E136" s="2">
        <v>3</v>
      </c>
      <c r="F136" s="2" t="str">
        <f>_xlfn.XLOOKUP(orders!C136,customers!$A$1:$A$1001,customers!$B$1:$B$1001,,0)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s="13" t="str">
        <f>_xlfn.XLOOKUP(Orders[[#This Row],[Customer ID]],customers!$A$1:$A$1001,customers!$I$1:$I$1001,,0)</f>
        <v>Yes</v>
      </c>
    </row>
    <row r="137" spans="1:16" x14ac:dyDescent="0.3">
      <c r="A137" s="2" t="s">
        <v>1249</v>
      </c>
      <c r="B137" s="3">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s="13" t="str">
        <f>_xlfn.XLOOKUP(Orders[[#This Row],[Customer ID]],customers!$A$1:$A$1001,customers!$I$1:$I$1001,,0)</f>
        <v>Yes</v>
      </c>
    </row>
    <row r="138" spans="1:16" x14ac:dyDescent="0.3">
      <c r="A138" s="2" t="s">
        <v>1255</v>
      </c>
      <c r="B138" s="3">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s="13" t="str">
        <f>_xlfn.XLOOKUP(Orders[[#This Row],[Customer ID]],customers!$A$1:$A$1001,customers!$I$1:$I$1001,,0)</f>
        <v>No</v>
      </c>
    </row>
    <row r="139" spans="1:16" x14ac:dyDescent="0.3">
      <c r="A139" s="2" t="s">
        <v>1261</v>
      </c>
      <c r="B139" s="3">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s="13" t="str">
        <f>_xlfn.XLOOKUP(Orders[[#This Row],[Customer ID]],customers!$A$1:$A$1001,customers!$I$1:$I$1001,,0)</f>
        <v>No</v>
      </c>
    </row>
    <row r="140" spans="1:16" x14ac:dyDescent="0.3">
      <c r="A140" s="2" t="s">
        <v>1266</v>
      </c>
      <c r="B140" s="3">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s="13" t="str">
        <f>_xlfn.XLOOKUP(Orders[[#This Row],[Customer ID]],customers!$A$1:$A$1001,customers!$I$1:$I$1001,,0)</f>
        <v>No</v>
      </c>
    </row>
    <row r="141" spans="1:16" x14ac:dyDescent="0.3">
      <c r="A141" s="2" t="s">
        <v>1271</v>
      </c>
      <c r="B141" s="3">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s="13" t="str">
        <f>_xlfn.XLOOKUP(Orders[[#This Row],[Customer ID]],customers!$A$1:$A$1001,customers!$I$1:$I$1001,,0)</f>
        <v>Yes</v>
      </c>
    </row>
    <row r="142" spans="1:16" x14ac:dyDescent="0.3">
      <c r="A142" s="2" t="s">
        <v>1276</v>
      </c>
      <c r="B142" s="3">
        <v>44694</v>
      </c>
      <c r="C142" s="2" t="s">
        <v>1277</v>
      </c>
      <c r="D142" t="s">
        <v>6165</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s="13" t="str">
        <f>_xlfn.XLOOKUP(Orders[[#This Row],[Customer ID]],customers!$A$1:$A$1001,customers!$I$1:$I$1001,,0)</f>
        <v>Yes</v>
      </c>
    </row>
    <row r="143" spans="1:16" x14ac:dyDescent="0.3">
      <c r="A143" s="2" t="s">
        <v>1283</v>
      </c>
      <c r="B143" s="3">
        <v>43970</v>
      </c>
      <c r="C143" s="2" t="s">
        <v>1284</v>
      </c>
      <c r="D143" t="s">
        <v>6167</v>
      </c>
      <c r="E143" s="2">
        <v>4</v>
      </c>
      <c r="F143" s="2" t="str">
        <f>_xlfn.XLOOKUP(orders!C143,customers!$A$1:$A$1001,customers!$B$1:$B$1001,,0)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s="13" t="str">
        <f>_xlfn.XLOOKUP(Orders[[#This Row],[Customer ID]],customers!$A$1:$A$1001,customers!$I$1:$I$1001,,0)</f>
        <v>Yes</v>
      </c>
    </row>
    <row r="144" spans="1:16" x14ac:dyDescent="0.3">
      <c r="A144" s="2" t="s">
        <v>1289</v>
      </c>
      <c r="B144" s="3">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s="13" t="str">
        <f>_xlfn.XLOOKUP(Orders[[#This Row],[Customer ID]],customers!$A$1:$A$1001,customers!$I$1:$I$1001,,0)</f>
        <v>Yes</v>
      </c>
    </row>
    <row r="145" spans="1:16" x14ac:dyDescent="0.3">
      <c r="A145" s="2" t="s">
        <v>1293</v>
      </c>
      <c r="B145" s="3">
        <v>44083</v>
      </c>
      <c r="C145" s="2" t="s">
        <v>1294</v>
      </c>
      <c r="D145" t="s">
        <v>6160</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s="13" t="str">
        <f>_xlfn.XLOOKUP(Orders[[#This Row],[Customer ID]],customers!$A$1:$A$1001,customers!$I$1:$I$1001,,0)</f>
        <v>No</v>
      </c>
    </row>
    <row r="146" spans="1:16" x14ac:dyDescent="0.3">
      <c r="A146" s="2" t="s">
        <v>1299</v>
      </c>
      <c r="B146" s="3">
        <v>44265</v>
      </c>
      <c r="C146" s="2" t="s">
        <v>1300</v>
      </c>
      <c r="D146" t="s">
        <v>6148</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s="13" t="str">
        <f>_xlfn.XLOOKUP(Orders[[#This Row],[Customer ID]],customers!$A$1:$A$1001,customers!$I$1:$I$1001,,0)</f>
        <v>Yes</v>
      </c>
    </row>
    <row r="147" spans="1:16" x14ac:dyDescent="0.3">
      <c r="A147" s="2" t="s">
        <v>1305</v>
      </c>
      <c r="B147" s="3">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s="13" t="str">
        <f>_xlfn.XLOOKUP(Orders[[#This Row],[Customer ID]],customers!$A$1:$A$1001,customers!$I$1:$I$1001,,0)</f>
        <v>No</v>
      </c>
    </row>
    <row r="148" spans="1:16" x14ac:dyDescent="0.3">
      <c r="A148" s="2" t="s">
        <v>1311</v>
      </c>
      <c r="B148" s="3">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s="13" t="str">
        <f>_xlfn.XLOOKUP(Orders[[#This Row],[Customer ID]],customers!$A$1:$A$1001,customers!$I$1:$I$1001,,0)</f>
        <v>No</v>
      </c>
    </row>
    <row r="149" spans="1:16" x14ac:dyDescent="0.3">
      <c r="A149" s="2" t="s">
        <v>1311</v>
      </c>
      <c r="B149" s="3">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s="13" t="str">
        <f>_xlfn.XLOOKUP(Orders[[#This Row],[Customer ID]],customers!$A$1:$A$1001,customers!$I$1:$I$1001,,0)</f>
        <v>No</v>
      </c>
    </row>
    <row r="150" spans="1:16" x14ac:dyDescent="0.3">
      <c r="A150" s="2" t="s">
        <v>1322</v>
      </c>
      <c r="B150" s="3">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s="13" t="str">
        <f>_xlfn.XLOOKUP(Orders[[#This Row],[Customer ID]],customers!$A$1:$A$1001,customers!$I$1:$I$1001,,0)</f>
        <v>Yes</v>
      </c>
    </row>
    <row r="151" spans="1:16" x14ac:dyDescent="0.3">
      <c r="A151" s="2" t="s">
        <v>1328</v>
      </c>
      <c r="B151" s="3">
        <v>44108</v>
      </c>
      <c r="C151" s="2" t="s">
        <v>1329</v>
      </c>
      <c r="D151" t="s">
        <v>6175</v>
      </c>
      <c r="E151" s="2">
        <v>2</v>
      </c>
      <c r="F151" s="2" t="str">
        <f>_xlfn.XLOOKUP(orders!C151,customers!$A$1:$A$1001,customers!$B$1:$B$1001,,0)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s="13" t="str">
        <f>_xlfn.XLOOKUP(Orders[[#This Row],[Customer ID]],customers!$A$1:$A$1001,customers!$I$1:$I$1001,,0)</f>
        <v>Yes</v>
      </c>
    </row>
    <row r="152" spans="1:16" x14ac:dyDescent="0.3">
      <c r="A152" s="2" t="s">
        <v>1333</v>
      </c>
      <c r="B152" s="3">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s="13" t="str">
        <f>_xlfn.XLOOKUP(Orders[[#This Row],[Customer ID]],customers!$A$1:$A$1001,customers!$I$1:$I$1001,,0)</f>
        <v>Yes</v>
      </c>
    </row>
    <row r="153" spans="1:16" x14ac:dyDescent="0.3">
      <c r="A153" s="2" t="s">
        <v>1339</v>
      </c>
      <c r="B153" s="3">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s="13" t="str">
        <f>_xlfn.XLOOKUP(Orders[[#This Row],[Customer ID]],customers!$A$1:$A$1001,customers!$I$1:$I$1001,,0)</f>
        <v>Yes</v>
      </c>
    </row>
    <row r="154" spans="1:16" x14ac:dyDescent="0.3">
      <c r="A154" s="2" t="s">
        <v>1344</v>
      </c>
      <c r="B154" s="3">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s="13" t="str">
        <f>_xlfn.XLOOKUP(Orders[[#This Row],[Customer ID]],customers!$A$1:$A$1001,customers!$I$1:$I$1001,,0)</f>
        <v>Yes</v>
      </c>
    </row>
    <row r="155" spans="1:16" x14ac:dyDescent="0.3">
      <c r="A155" s="2" t="s">
        <v>1350</v>
      </c>
      <c r="B155" s="3">
        <v>44367</v>
      </c>
      <c r="C155" s="2" t="s">
        <v>1351</v>
      </c>
      <c r="D155" t="s">
        <v>6163</v>
      </c>
      <c r="E155" s="2">
        <v>1</v>
      </c>
      <c r="F155" s="2" t="str">
        <f>_xlfn.XLOOKUP(orders!C155,customers!$A$1:$A$1001,customers!$B$1:$B$1001,,0)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s="13" t="str">
        <f>_xlfn.XLOOKUP(Orders[[#This Row],[Customer ID]],customers!$A$1:$A$1001,customers!$I$1:$I$1001,,0)</f>
        <v>No</v>
      </c>
    </row>
    <row r="156" spans="1:16" x14ac:dyDescent="0.3">
      <c r="A156" s="2" t="s">
        <v>1355</v>
      </c>
      <c r="B156" s="3">
        <v>44473</v>
      </c>
      <c r="C156" s="2" t="s">
        <v>1356</v>
      </c>
      <c r="D156" t="s">
        <v>6168</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s="13" t="str">
        <f>_xlfn.XLOOKUP(Orders[[#This Row],[Customer ID]],customers!$A$1:$A$1001,customers!$I$1:$I$1001,,0)</f>
        <v>No</v>
      </c>
    </row>
    <row r="157" spans="1:16" x14ac:dyDescent="0.3">
      <c r="A157" s="2" t="s">
        <v>1361</v>
      </c>
      <c r="B157" s="3">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s="13" t="str">
        <f>_xlfn.XLOOKUP(Orders[[#This Row],[Customer ID]],customers!$A$1:$A$1001,customers!$I$1:$I$1001,,0)</f>
        <v>Yes</v>
      </c>
    </row>
    <row r="158" spans="1:16" x14ac:dyDescent="0.3">
      <c r="A158" s="2" t="s">
        <v>1367</v>
      </c>
      <c r="B158" s="3">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s="13" t="str">
        <f>_xlfn.XLOOKUP(Orders[[#This Row],[Customer ID]],customers!$A$1:$A$1001,customers!$I$1:$I$1001,,0)</f>
        <v>Yes</v>
      </c>
    </row>
    <row r="159" spans="1:16" x14ac:dyDescent="0.3">
      <c r="A159" s="2" t="s">
        <v>1373</v>
      </c>
      <c r="B159" s="3">
        <v>44374</v>
      </c>
      <c r="C159" s="2" t="s">
        <v>1374</v>
      </c>
      <c r="D159" t="s">
        <v>6149</v>
      </c>
      <c r="E159" s="2">
        <v>3</v>
      </c>
      <c r="F159" s="2" t="str">
        <f>_xlfn.XLOOKUP(orders!C159,customers!$A$1:$A$1001,customers!$B$1:$B$1001,,0)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s="13" t="str">
        <f>_xlfn.XLOOKUP(Orders[[#This Row],[Customer ID]],customers!$A$1:$A$1001,customers!$I$1:$I$1001,,0)</f>
        <v>No</v>
      </c>
    </row>
    <row r="160" spans="1:16" x14ac:dyDescent="0.3">
      <c r="A160" s="2" t="s">
        <v>1379</v>
      </c>
      <c r="B160" s="3">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s="13" t="str">
        <f>_xlfn.XLOOKUP(Orders[[#This Row],[Customer ID]],customers!$A$1:$A$1001,customers!$I$1:$I$1001,,0)</f>
        <v>Yes</v>
      </c>
    </row>
    <row r="161" spans="1:16" x14ac:dyDescent="0.3">
      <c r="A161" s="2" t="s">
        <v>1384</v>
      </c>
      <c r="B161" s="3">
        <v>44316</v>
      </c>
      <c r="C161" s="2" t="s">
        <v>1385</v>
      </c>
      <c r="D161" t="s">
        <v>6164</v>
      </c>
      <c r="E161" s="2">
        <v>6</v>
      </c>
      <c r="F161" s="2" t="str">
        <f>_xlfn.XLOOKUP(orders!C161,customers!$A$1:$A$1001,customers!$B$1:$B$1001,,0)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s="13" t="str">
        <f>_xlfn.XLOOKUP(Orders[[#This Row],[Customer ID]],customers!$A$1:$A$1001,customers!$I$1:$I$1001,,0)</f>
        <v>No</v>
      </c>
    </row>
    <row r="162" spans="1:16" x14ac:dyDescent="0.3">
      <c r="A162" s="2" t="s">
        <v>1389</v>
      </c>
      <c r="B162" s="3">
        <v>43837</v>
      </c>
      <c r="C162" s="2" t="s">
        <v>1390</v>
      </c>
      <c r="D162" t="s">
        <v>6139</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s="13" t="str">
        <f>_xlfn.XLOOKUP(Orders[[#This Row],[Customer ID]],customers!$A$1:$A$1001,customers!$I$1:$I$1001,,0)</f>
        <v>No</v>
      </c>
    </row>
    <row r="163" spans="1:16" x14ac:dyDescent="0.3">
      <c r="A163" s="2" t="s">
        <v>1395</v>
      </c>
      <c r="B163" s="3">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s="13" t="str">
        <f>_xlfn.XLOOKUP(Orders[[#This Row],[Customer ID]],customers!$A$1:$A$1001,customers!$I$1:$I$1001,,0)</f>
        <v>No</v>
      </c>
    </row>
    <row r="164" spans="1:16" x14ac:dyDescent="0.3">
      <c r="A164" s="2" t="s">
        <v>1401</v>
      </c>
      <c r="B164" s="3">
        <v>44515</v>
      </c>
      <c r="C164" s="2" t="s">
        <v>1402</v>
      </c>
      <c r="D164" t="s">
        <v>6144</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s="13" t="str">
        <f>_xlfn.XLOOKUP(Orders[[#This Row],[Customer ID]],customers!$A$1:$A$1001,customers!$I$1:$I$1001,,0)</f>
        <v>Yes</v>
      </c>
    </row>
    <row r="165" spans="1:16" x14ac:dyDescent="0.3">
      <c r="A165" s="2" t="s">
        <v>1407</v>
      </c>
      <c r="B165" s="3">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s="13" t="str">
        <f>_xlfn.XLOOKUP(Orders[[#This Row],[Customer ID]],customers!$A$1:$A$1001,customers!$I$1:$I$1001,,0)</f>
        <v>No</v>
      </c>
    </row>
    <row r="166" spans="1:16" x14ac:dyDescent="0.3">
      <c r="A166" s="2" t="s">
        <v>1413</v>
      </c>
      <c r="B166" s="3">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s="13" t="str">
        <f>_xlfn.XLOOKUP(Orders[[#This Row],[Customer ID]],customers!$A$1:$A$1001,customers!$I$1:$I$1001,,0)</f>
        <v>No</v>
      </c>
    </row>
    <row r="167" spans="1:16" x14ac:dyDescent="0.3">
      <c r="A167" s="2" t="s">
        <v>1420</v>
      </c>
      <c r="B167" s="3">
        <v>44234</v>
      </c>
      <c r="C167" s="2" t="s">
        <v>1421</v>
      </c>
      <c r="D167" t="s">
        <v>6177</v>
      </c>
      <c r="E167" s="2">
        <v>6</v>
      </c>
      <c r="F167" s="2" t="str">
        <f>_xlfn.XLOOKUP(orders!C167,customers!$A$1:$A$1001,customers!$B$1:$B$1001,,0)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s="13" t="str">
        <f>_xlfn.XLOOKUP(Orders[[#This Row],[Customer ID]],customers!$A$1:$A$1001,customers!$I$1:$I$1001,,0)</f>
        <v>Yes</v>
      </c>
    </row>
    <row r="168" spans="1:16" x14ac:dyDescent="0.3">
      <c r="A168" s="2" t="s">
        <v>1425</v>
      </c>
      <c r="B168" s="3">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s="13" t="str">
        <f>_xlfn.XLOOKUP(Orders[[#This Row],[Customer ID]],customers!$A$1:$A$1001,customers!$I$1:$I$1001,,0)</f>
        <v>Yes</v>
      </c>
    </row>
    <row r="169" spans="1:16" x14ac:dyDescent="0.3">
      <c r="A169" s="2" t="s">
        <v>1430</v>
      </c>
      <c r="B169" s="3">
        <v>44777</v>
      </c>
      <c r="C169" s="2" t="s">
        <v>1431</v>
      </c>
      <c r="D169" t="s">
        <v>6139</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s="13" t="str">
        <f>_xlfn.XLOOKUP(Orders[[#This Row],[Customer ID]],customers!$A$1:$A$1001,customers!$I$1:$I$1001,,0)</f>
        <v>Yes</v>
      </c>
    </row>
    <row r="170" spans="1:16" x14ac:dyDescent="0.3">
      <c r="A170" s="2" t="s">
        <v>1436</v>
      </c>
      <c r="B170" s="3">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s="13" t="str">
        <f>_xlfn.XLOOKUP(Orders[[#This Row],[Customer ID]],customers!$A$1:$A$1001,customers!$I$1:$I$1001,,0)</f>
        <v>No</v>
      </c>
    </row>
    <row r="171" spans="1:16" x14ac:dyDescent="0.3">
      <c r="A171" s="2" t="s">
        <v>1441</v>
      </c>
      <c r="B171" s="3">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s="13" t="str">
        <f>_xlfn.XLOOKUP(Orders[[#This Row],[Customer ID]],customers!$A$1:$A$1001,customers!$I$1:$I$1001,,0)</f>
        <v>No</v>
      </c>
    </row>
    <row r="172" spans="1:16" x14ac:dyDescent="0.3">
      <c r="A172" s="2" t="s">
        <v>1448</v>
      </c>
      <c r="B172" s="3">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s="13" t="str">
        <f>_xlfn.XLOOKUP(Orders[[#This Row],[Customer ID]],customers!$A$1:$A$1001,customers!$I$1:$I$1001,,0)</f>
        <v>No</v>
      </c>
    </row>
    <row r="173" spans="1:16" x14ac:dyDescent="0.3">
      <c r="A173" s="2" t="s">
        <v>1453</v>
      </c>
      <c r="B173" s="3">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s="13" t="str">
        <f>_xlfn.XLOOKUP(Orders[[#This Row],[Customer ID]],customers!$A$1:$A$1001,customers!$I$1:$I$1001,,0)</f>
        <v>Yes</v>
      </c>
    </row>
    <row r="174" spans="1:16" x14ac:dyDescent="0.3">
      <c r="A174" s="2" t="s">
        <v>1459</v>
      </c>
      <c r="B174" s="3">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s="13" t="str">
        <f>_xlfn.XLOOKUP(Orders[[#This Row],[Customer ID]],customers!$A$1:$A$1001,customers!$I$1:$I$1001,,0)</f>
        <v>No</v>
      </c>
    </row>
    <row r="175" spans="1:16" x14ac:dyDescent="0.3">
      <c r="A175" s="2" t="s">
        <v>1464</v>
      </c>
      <c r="B175" s="3">
        <v>44720</v>
      </c>
      <c r="C175" s="2" t="s">
        <v>1465</v>
      </c>
      <c r="D175" t="s">
        <v>6151</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s="13" t="str">
        <f>_xlfn.XLOOKUP(Orders[[#This Row],[Customer ID]],customers!$A$1:$A$1001,customers!$I$1:$I$1001,,0)</f>
        <v>No</v>
      </c>
    </row>
    <row r="176" spans="1:16" x14ac:dyDescent="0.3">
      <c r="A176" s="2" t="s">
        <v>1470</v>
      </c>
      <c r="B176" s="3">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s="13" t="str">
        <f>_xlfn.XLOOKUP(Orders[[#This Row],[Customer ID]],customers!$A$1:$A$1001,customers!$I$1:$I$1001,,0)</f>
        <v>Yes</v>
      </c>
    </row>
    <row r="177" spans="1:16" x14ac:dyDescent="0.3">
      <c r="A177" s="2" t="s">
        <v>1475</v>
      </c>
      <c r="B177" s="3">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s="13" t="str">
        <f>_xlfn.XLOOKUP(Orders[[#This Row],[Customer ID]],customers!$A$1:$A$1001,customers!$I$1:$I$1001,,0)</f>
        <v>Yes</v>
      </c>
    </row>
    <row r="178" spans="1:16" x14ac:dyDescent="0.3">
      <c r="A178" s="2" t="s">
        <v>1481</v>
      </c>
      <c r="B178" s="3">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s="13" t="str">
        <f>_xlfn.XLOOKUP(Orders[[#This Row],[Customer ID]],customers!$A$1:$A$1001,customers!$I$1:$I$1001,,0)</f>
        <v>Yes</v>
      </c>
    </row>
    <row r="179" spans="1:16" x14ac:dyDescent="0.3">
      <c r="A179" s="2" t="s">
        <v>1487</v>
      </c>
      <c r="B179" s="3">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s="13" t="str">
        <f>_xlfn.XLOOKUP(Orders[[#This Row],[Customer ID]],customers!$A$1:$A$1001,customers!$I$1:$I$1001,,0)</f>
        <v>Yes</v>
      </c>
    </row>
    <row r="180" spans="1:16" x14ac:dyDescent="0.3">
      <c r="A180" s="2" t="s">
        <v>1492</v>
      </c>
      <c r="B180" s="3">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s="13" t="str">
        <f>_xlfn.XLOOKUP(Orders[[#This Row],[Customer ID]],customers!$A$1:$A$1001,customers!$I$1:$I$1001,,0)</f>
        <v>No</v>
      </c>
    </row>
    <row r="181" spans="1:16" x14ac:dyDescent="0.3">
      <c r="A181" s="2" t="s">
        <v>1498</v>
      </c>
      <c r="B181" s="3">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s="13" t="str">
        <f>_xlfn.XLOOKUP(Orders[[#This Row],[Customer ID]],customers!$A$1:$A$1001,customers!$I$1:$I$1001,,0)</f>
        <v>No</v>
      </c>
    </row>
    <row r="182" spans="1:16" x14ac:dyDescent="0.3">
      <c r="A182" s="2" t="s">
        <v>1503</v>
      </c>
      <c r="B182" s="3">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s="13" t="str">
        <f>_xlfn.XLOOKUP(Orders[[#This Row],[Customer ID]],customers!$A$1:$A$1001,customers!$I$1:$I$1001,,0)</f>
        <v>No</v>
      </c>
    </row>
    <row r="183" spans="1:16" x14ac:dyDescent="0.3">
      <c r="A183" s="2" t="s">
        <v>1503</v>
      </c>
      <c r="B183" s="3">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s="13" t="str">
        <f>_xlfn.XLOOKUP(Orders[[#This Row],[Customer ID]],customers!$A$1:$A$1001,customers!$I$1:$I$1001,,0)</f>
        <v>No</v>
      </c>
    </row>
    <row r="184" spans="1:16" x14ac:dyDescent="0.3">
      <c r="A184" s="2" t="s">
        <v>1514</v>
      </c>
      <c r="B184" s="3">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s="13" t="str">
        <f>_xlfn.XLOOKUP(Orders[[#This Row],[Customer ID]],customers!$A$1:$A$1001,customers!$I$1:$I$1001,,0)</f>
        <v>No</v>
      </c>
    </row>
    <row r="185" spans="1:16" x14ac:dyDescent="0.3">
      <c r="A185" s="2" t="s">
        <v>1520</v>
      </c>
      <c r="B185" s="3">
        <v>44512</v>
      </c>
      <c r="C185" s="2" t="s">
        <v>1521</v>
      </c>
      <c r="D185" t="s">
        <v>6156</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s="13" t="str">
        <f>_xlfn.XLOOKUP(Orders[[#This Row],[Customer ID]],customers!$A$1:$A$1001,customers!$I$1:$I$1001,,0)</f>
        <v>No</v>
      </c>
    </row>
    <row r="186" spans="1:16" x14ac:dyDescent="0.3">
      <c r="A186" s="2" t="s">
        <v>1526</v>
      </c>
      <c r="B186" s="3">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s="13" t="str">
        <f>_xlfn.XLOOKUP(Orders[[#This Row],[Customer ID]],customers!$A$1:$A$1001,customers!$I$1:$I$1001,,0)</f>
        <v>No</v>
      </c>
    </row>
    <row r="187" spans="1:16" x14ac:dyDescent="0.3">
      <c r="A187" s="2" t="s">
        <v>1532</v>
      </c>
      <c r="B187" s="3">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s="13" t="str">
        <f>_xlfn.XLOOKUP(Orders[[#This Row],[Customer ID]],customers!$A$1:$A$1001,customers!$I$1:$I$1001,,0)</f>
        <v>Yes</v>
      </c>
    </row>
    <row r="188" spans="1:16" x14ac:dyDescent="0.3">
      <c r="A188" s="2" t="s">
        <v>1538</v>
      </c>
      <c r="B188" s="3">
        <v>43684</v>
      </c>
      <c r="C188" s="2" t="s">
        <v>1539</v>
      </c>
      <c r="D188" t="s">
        <v>6151</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s="13" t="str">
        <f>_xlfn.XLOOKUP(Orders[[#This Row],[Customer ID]],customers!$A$1:$A$1001,customers!$I$1:$I$1001,,0)</f>
        <v>No</v>
      </c>
    </row>
    <row r="189" spans="1:16" x14ac:dyDescent="0.3">
      <c r="A189" s="2" t="s">
        <v>1544</v>
      </c>
      <c r="B189" s="3">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s="13" t="str">
        <f>_xlfn.XLOOKUP(Orders[[#This Row],[Customer ID]],customers!$A$1:$A$1001,customers!$I$1:$I$1001,,0)</f>
        <v>Yes</v>
      </c>
    </row>
    <row r="190" spans="1:16" x14ac:dyDescent="0.3">
      <c r="A190" s="2" t="s">
        <v>1549</v>
      </c>
      <c r="B190" s="3">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s="13" t="str">
        <f>_xlfn.XLOOKUP(Orders[[#This Row],[Customer ID]],customers!$A$1:$A$1001,customers!$I$1:$I$1001,,0)</f>
        <v>Yes</v>
      </c>
    </row>
    <row r="191" spans="1:16" x14ac:dyDescent="0.3">
      <c r="A191" s="2" t="s">
        <v>1555</v>
      </c>
      <c r="B191" s="3">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s="13" t="str">
        <f>_xlfn.XLOOKUP(Orders[[#This Row],[Customer ID]],customers!$A$1:$A$1001,customers!$I$1:$I$1001,,0)</f>
        <v>Yes</v>
      </c>
    </row>
    <row r="192" spans="1:16" x14ac:dyDescent="0.3">
      <c r="A192" s="2" t="s">
        <v>1561</v>
      </c>
      <c r="B192" s="3">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s="13" t="str">
        <f>_xlfn.XLOOKUP(Orders[[#This Row],[Customer ID]],customers!$A$1:$A$1001,customers!$I$1:$I$1001,,0)</f>
        <v>Yes</v>
      </c>
    </row>
    <row r="193" spans="1:16" x14ac:dyDescent="0.3">
      <c r="A193" s="2" t="s">
        <v>1567</v>
      </c>
      <c r="B193" s="3">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s="13" t="str">
        <f>_xlfn.XLOOKUP(Orders[[#This Row],[Customer ID]],customers!$A$1:$A$1001,customers!$I$1:$I$1001,,0)</f>
        <v>Yes</v>
      </c>
    </row>
    <row r="194" spans="1:16" x14ac:dyDescent="0.3">
      <c r="A194" s="2" t="s">
        <v>1573</v>
      </c>
      <c r="B194" s="3">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s="13" t="str">
        <f>_xlfn.XLOOKUP(Orders[[#This Row],[Customer ID]],customers!$A$1:$A$1001,customers!$I$1:$I$1001,,0)</f>
        <v>Yes</v>
      </c>
    </row>
    <row r="195" spans="1:16" x14ac:dyDescent="0.3">
      <c r="A195" s="2" t="s">
        <v>1579</v>
      </c>
      <c r="B195" s="3">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s="13" t="str">
        <f>_xlfn.XLOOKUP(Orders[[#This Row],[Customer ID]],customers!$A$1:$A$1001,customers!$I$1:$I$1001,,0)</f>
        <v>No</v>
      </c>
    </row>
    <row r="196" spans="1:16" x14ac:dyDescent="0.3">
      <c r="A196" s="2" t="s">
        <v>1584</v>
      </c>
      <c r="B196" s="3">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s="13" t="str">
        <f>_xlfn.XLOOKUP(Orders[[#This Row],[Customer ID]],customers!$A$1:$A$1001,customers!$I$1:$I$1001,,0)</f>
        <v>No</v>
      </c>
    </row>
    <row r="197" spans="1:16" x14ac:dyDescent="0.3">
      <c r="A197" s="2" t="s">
        <v>1590</v>
      </c>
      <c r="B197" s="3">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s="13" t="str">
        <f>_xlfn.XLOOKUP(Orders[[#This Row],[Customer ID]],customers!$A$1:$A$1001,customers!$I$1:$I$1001,,0)</f>
        <v>No</v>
      </c>
    </row>
    <row r="198" spans="1:16" x14ac:dyDescent="0.3">
      <c r="A198" s="2" t="s">
        <v>1596</v>
      </c>
      <c r="B198" s="3">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s="13" t="str">
        <f>_xlfn.XLOOKUP(Orders[[#This Row],[Customer ID]],customers!$A$1:$A$1001,customers!$I$1:$I$1001,,0)</f>
        <v>No</v>
      </c>
    </row>
    <row r="199" spans="1:16" x14ac:dyDescent="0.3">
      <c r="A199" s="2" t="s">
        <v>1596</v>
      </c>
      <c r="B199" s="3">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s="13" t="str">
        <f>_xlfn.XLOOKUP(Orders[[#This Row],[Customer ID]],customers!$A$1:$A$1001,customers!$I$1:$I$1001,,0)</f>
        <v>No</v>
      </c>
    </row>
    <row r="200" spans="1:16" x14ac:dyDescent="0.3">
      <c r="A200" s="2" t="s">
        <v>1596</v>
      </c>
      <c r="B200" s="3">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s="13" t="str">
        <f>_xlfn.XLOOKUP(Orders[[#This Row],[Customer ID]],customers!$A$1:$A$1001,customers!$I$1:$I$1001,,0)</f>
        <v>No</v>
      </c>
    </row>
    <row r="201" spans="1:16" x14ac:dyDescent="0.3">
      <c r="A201" s="2" t="s">
        <v>1596</v>
      </c>
      <c r="B201" s="3">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s="13" t="str">
        <f>_xlfn.XLOOKUP(Orders[[#This Row],[Customer ID]],customers!$A$1:$A$1001,customers!$I$1:$I$1001,,0)</f>
        <v>No</v>
      </c>
    </row>
    <row r="202" spans="1:16" x14ac:dyDescent="0.3">
      <c r="A202" s="2" t="s">
        <v>1596</v>
      </c>
      <c r="B202" s="3">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s="13" t="str">
        <f>_xlfn.XLOOKUP(Orders[[#This Row],[Customer ID]],customers!$A$1:$A$1001,customers!$I$1:$I$1001,,0)</f>
        <v>No</v>
      </c>
    </row>
    <row r="203" spans="1:16" x14ac:dyDescent="0.3">
      <c r="A203" s="2" t="s">
        <v>1621</v>
      </c>
      <c r="B203" s="3">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s="13" t="str">
        <f>_xlfn.XLOOKUP(Orders[[#This Row],[Customer ID]],customers!$A$1:$A$1001,customers!$I$1:$I$1001,,0)</f>
        <v>No</v>
      </c>
    </row>
    <row r="204" spans="1:16" x14ac:dyDescent="0.3">
      <c r="A204" s="2" t="s">
        <v>1626</v>
      </c>
      <c r="B204" s="3">
        <v>44486</v>
      </c>
      <c r="C204" s="2" t="s">
        <v>1627</v>
      </c>
      <c r="D204" t="s">
        <v>6165</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s="13" t="str">
        <f>_xlfn.XLOOKUP(Orders[[#This Row],[Customer ID]],customers!$A$1:$A$1001,customers!$I$1:$I$1001,,0)</f>
        <v>Yes</v>
      </c>
    </row>
    <row r="205" spans="1:16" x14ac:dyDescent="0.3">
      <c r="A205" s="2" t="s">
        <v>1632</v>
      </c>
      <c r="B205" s="3">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s="13" t="str">
        <f>_xlfn.XLOOKUP(Orders[[#This Row],[Customer ID]],customers!$A$1:$A$1001,customers!$I$1:$I$1001,,0)</f>
        <v>No</v>
      </c>
    </row>
    <row r="206" spans="1:16" x14ac:dyDescent="0.3">
      <c r="A206" s="2" t="s">
        <v>1638</v>
      </c>
      <c r="B206" s="3">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s="13" t="str">
        <f>_xlfn.XLOOKUP(Orders[[#This Row],[Customer ID]],customers!$A$1:$A$1001,customers!$I$1:$I$1001,,0)</f>
        <v>No</v>
      </c>
    </row>
    <row r="207" spans="1:16" x14ac:dyDescent="0.3">
      <c r="A207" s="2" t="s">
        <v>1643</v>
      </c>
      <c r="B207" s="3">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s="13" t="str">
        <f>_xlfn.XLOOKUP(Orders[[#This Row],[Customer ID]],customers!$A$1:$A$1001,customers!$I$1:$I$1001,,0)</f>
        <v>Yes</v>
      </c>
    </row>
    <row r="208" spans="1:16" x14ac:dyDescent="0.3">
      <c r="A208" s="2" t="s">
        <v>1648</v>
      </c>
      <c r="B208" s="3">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s="13" t="str">
        <f>_xlfn.XLOOKUP(Orders[[#This Row],[Customer ID]],customers!$A$1:$A$1001,customers!$I$1:$I$1001,,0)</f>
        <v>No</v>
      </c>
    </row>
    <row r="209" spans="1:16" x14ac:dyDescent="0.3">
      <c r="A209" s="2" t="s">
        <v>1653</v>
      </c>
      <c r="B209" s="3">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s="13" t="str">
        <f>_xlfn.XLOOKUP(Orders[[#This Row],[Customer ID]],customers!$A$1:$A$1001,customers!$I$1:$I$1001,,0)</f>
        <v>Yes</v>
      </c>
    </row>
    <row r="210" spans="1:16" x14ac:dyDescent="0.3">
      <c r="A210" s="2" t="s">
        <v>1659</v>
      </c>
      <c r="B210" s="3">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s="13" t="str">
        <f>_xlfn.XLOOKUP(Orders[[#This Row],[Customer ID]],customers!$A$1:$A$1001,customers!$I$1:$I$1001,,0)</f>
        <v>Yes</v>
      </c>
    </row>
    <row r="211" spans="1:16" x14ac:dyDescent="0.3">
      <c r="A211" s="2" t="s">
        <v>1665</v>
      </c>
      <c r="B211" s="3">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s="13" t="str">
        <f>_xlfn.XLOOKUP(Orders[[#This Row],[Customer ID]],customers!$A$1:$A$1001,customers!$I$1:$I$1001,,0)</f>
        <v>No</v>
      </c>
    </row>
    <row r="212" spans="1:16" x14ac:dyDescent="0.3">
      <c r="A212" s="2" t="s">
        <v>1671</v>
      </c>
      <c r="B212" s="3">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s="13" t="str">
        <f>_xlfn.XLOOKUP(Orders[[#This Row],[Customer ID]],customers!$A$1:$A$1001,customers!$I$1:$I$1001,,0)</f>
        <v>Yes</v>
      </c>
    </row>
    <row r="213" spans="1:16" x14ac:dyDescent="0.3">
      <c r="A213" s="2" t="s">
        <v>1677</v>
      </c>
      <c r="B213" s="3">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s="13" t="str">
        <f>_xlfn.XLOOKUP(Orders[[#This Row],[Customer ID]],customers!$A$1:$A$1001,customers!$I$1:$I$1001,,0)</f>
        <v>No</v>
      </c>
    </row>
    <row r="214" spans="1:16" x14ac:dyDescent="0.3">
      <c r="A214" s="2" t="s">
        <v>1682</v>
      </c>
      <c r="B214" s="3">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s="13" t="str">
        <f>_xlfn.XLOOKUP(Orders[[#This Row],[Customer ID]],customers!$A$1:$A$1001,customers!$I$1:$I$1001,,0)</f>
        <v>Yes</v>
      </c>
    </row>
    <row r="215" spans="1:16" x14ac:dyDescent="0.3">
      <c r="A215" s="2" t="s">
        <v>1688</v>
      </c>
      <c r="B215" s="3">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s="13" t="str">
        <f>_xlfn.XLOOKUP(Orders[[#This Row],[Customer ID]],customers!$A$1:$A$1001,customers!$I$1:$I$1001,,0)</f>
        <v>No</v>
      </c>
    </row>
    <row r="216" spans="1:16" x14ac:dyDescent="0.3">
      <c r="A216" s="2" t="s">
        <v>1694</v>
      </c>
      <c r="B216" s="3">
        <v>43775</v>
      </c>
      <c r="C216" s="2" t="s">
        <v>1695</v>
      </c>
      <c r="D216" t="s">
        <v>6170</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s="13" t="str">
        <f>_xlfn.XLOOKUP(Orders[[#This Row],[Customer ID]],customers!$A$1:$A$1001,customers!$I$1:$I$1001,,0)</f>
        <v>No</v>
      </c>
    </row>
    <row r="217" spans="1:16" x14ac:dyDescent="0.3">
      <c r="A217" s="2" t="s">
        <v>1701</v>
      </c>
      <c r="B217" s="3">
        <v>43829</v>
      </c>
      <c r="C217" s="2" t="s">
        <v>1702</v>
      </c>
      <c r="D217" t="s">
        <v>6150</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s="13" t="str">
        <f>_xlfn.XLOOKUP(Orders[[#This Row],[Customer ID]],customers!$A$1:$A$1001,customers!$I$1:$I$1001,,0)</f>
        <v>No</v>
      </c>
    </row>
    <row r="218" spans="1:16" x14ac:dyDescent="0.3">
      <c r="A218" s="2" t="s">
        <v>1707</v>
      </c>
      <c r="B218" s="3">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s="13" t="str">
        <f>_xlfn.XLOOKUP(Orders[[#This Row],[Customer ID]],customers!$A$1:$A$1001,customers!$I$1:$I$1001,,0)</f>
        <v>Yes</v>
      </c>
    </row>
    <row r="219" spans="1:16" x14ac:dyDescent="0.3">
      <c r="A219" s="2" t="s">
        <v>1713</v>
      </c>
      <c r="B219" s="3">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s="13" t="str">
        <f>_xlfn.XLOOKUP(Orders[[#This Row],[Customer ID]],customers!$A$1:$A$1001,customers!$I$1:$I$1001,,0)</f>
        <v>No</v>
      </c>
    </row>
    <row r="220" spans="1:16" x14ac:dyDescent="0.3">
      <c r="A220" s="2" t="s">
        <v>1719</v>
      </c>
      <c r="B220" s="3">
        <v>44317</v>
      </c>
      <c r="C220" s="2" t="s">
        <v>1720</v>
      </c>
      <c r="D220" t="s">
        <v>6155</v>
      </c>
      <c r="E220" s="2">
        <v>5</v>
      </c>
      <c r="F220" s="2" t="str">
        <f>_xlfn.XLOOKUP(orders!C220,customers!$A$1:$A$1001,customers!$B$1:$B$1001,,0)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s="13" t="str">
        <f>_xlfn.XLOOKUP(Orders[[#This Row],[Customer ID]],customers!$A$1:$A$1001,customers!$I$1:$I$1001,,0)</f>
        <v>Yes</v>
      </c>
    </row>
    <row r="221" spans="1:16" x14ac:dyDescent="0.3">
      <c r="A221" s="2" t="s">
        <v>1725</v>
      </c>
      <c r="B221" s="3">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s="13" t="str">
        <f>_xlfn.XLOOKUP(Orders[[#This Row],[Customer ID]],customers!$A$1:$A$1001,customers!$I$1:$I$1001,,0)</f>
        <v>No</v>
      </c>
    </row>
    <row r="222" spans="1:16" x14ac:dyDescent="0.3">
      <c r="A222" s="2" t="s">
        <v>1725</v>
      </c>
      <c r="B222" s="3">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s="13" t="str">
        <f>_xlfn.XLOOKUP(Orders[[#This Row],[Customer ID]],customers!$A$1:$A$1001,customers!$I$1:$I$1001,,0)</f>
        <v>No</v>
      </c>
    </row>
    <row r="223" spans="1:16" x14ac:dyDescent="0.3">
      <c r="A223" s="2" t="s">
        <v>1736</v>
      </c>
      <c r="B223" s="3">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s="13" t="str">
        <f>_xlfn.XLOOKUP(Orders[[#This Row],[Customer ID]],customers!$A$1:$A$1001,customers!$I$1:$I$1001,,0)</f>
        <v>Yes</v>
      </c>
    </row>
    <row r="224" spans="1:16" x14ac:dyDescent="0.3">
      <c r="A224" s="2" t="s">
        <v>1742</v>
      </c>
      <c r="B224" s="3">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s="13" t="str">
        <f>_xlfn.XLOOKUP(Orders[[#This Row],[Customer ID]],customers!$A$1:$A$1001,customers!$I$1:$I$1001,,0)</f>
        <v>No</v>
      </c>
    </row>
    <row r="225" spans="1:16" x14ac:dyDescent="0.3">
      <c r="A225" s="2" t="s">
        <v>1748</v>
      </c>
      <c r="B225" s="3">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s="13" t="str">
        <f>_xlfn.XLOOKUP(Orders[[#This Row],[Customer ID]],customers!$A$1:$A$1001,customers!$I$1:$I$1001,,0)</f>
        <v>Yes</v>
      </c>
    </row>
    <row r="226" spans="1:16" x14ac:dyDescent="0.3">
      <c r="A226" s="2" t="s">
        <v>1753</v>
      </c>
      <c r="B226" s="3">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s="13" t="str">
        <f>_xlfn.XLOOKUP(Orders[[#This Row],[Customer ID]],customers!$A$1:$A$1001,customers!$I$1:$I$1001,,0)</f>
        <v>Yes</v>
      </c>
    </row>
    <row r="227" spans="1:16" x14ac:dyDescent="0.3">
      <c r="A227" s="2" t="s">
        <v>1759</v>
      </c>
      <c r="B227" s="3">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s="13" t="str">
        <f>_xlfn.XLOOKUP(Orders[[#This Row],[Customer ID]],customers!$A$1:$A$1001,customers!$I$1:$I$1001,,0)</f>
        <v>No</v>
      </c>
    </row>
    <row r="228" spans="1:16" x14ac:dyDescent="0.3">
      <c r="A228" s="2" t="s">
        <v>1765</v>
      </c>
      <c r="B228" s="3">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s="13" t="str">
        <f>_xlfn.XLOOKUP(Orders[[#This Row],[Customer ID]],customers!$A$1:$A$1001,customers!$I$1:$I$1001,,0)</f>
        <v>No</v>
      </c>
    </row>
    <row r="229" spans="1:16" x14ac:dyDescent="0.3">
      <c r="A229" s="2" t="s">
        <v>1771</v>
      </c>
      <c r="B229" s="3">
        <v>43880</v>
      </c>
      <c r="C229" s="2" t="s">
        <v>1772</v>
      </c>
      <c r="D229" t="s">
        <v>6163</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s="13" t="str">
        <f>_xlfn.XLOOKUP(Orders[[#This Row],[Customer ID]],customers!$A$1:$A$1001,customers!$I$1:$I$1001,,0)</f>
        <v>Yes</v>
      </c>
    </row>
    <row r="230" spans="1:16" x14ac:dyDescent="0.3">
      <c r="A230" s="2" t="s">
        <v>1777</v>
      </c>
      <c r="B230" s="3">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s="13" t="str">
        <f>_xlfn.XLOOKUP(Orders[[#This Row],[Customer ID]],customers!$A$1:$A$1001,customers!$I$1:$I$1001,,0)</f>
        <v>No</v>
      </c>
    </row>
    <row r="231" spans="1:16" x14ac:dyDescent="0.3">
      <c r="A231" s="2" t="s">
        <v>1783</v>
      </c>
      <c r="B231" s="3">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s="13" t="str">
        <f>_xlfn.XLOOKUP(Orders[[#This Row],[Customer ID]],customers!$A$1:$A$1001,customers!$I$1:$I$1001,,0)</f>
        <v>No</v>
      </c>
    </row>
    <row r="232" spans="1:16" x14ac:dyDescent="0.3">
      <c r="A232" s="2" t="s">
        <v>1789</v>
      </c>
      <c r="B232" s="3">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s="13" t="str">
        <f>_xlfn.XLOOKUP(Orders[[#This Row],[Customer ID]],customers!$A$1:$A$1001,customers!$I$1:$I$1001,,0)</f>
        <v>No</v>
      </c>
    </row>
    <row r="233" spans="1:16" x14ac:dyDescent="0.3">
      <c r="A233" s="2" t="s">
        <v>1795</v>
      </c>
      <c r="B233" s="3">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s="13" t="str">
        <f>_xlfn.XLOOKUP(Orders[[#This Row],[Customer ID]],customers!$A$1:$A$1001,customers!$I$1:$I$1001,,0)</f>
        <v>Yes</v>
      </c>
    </row>
    <row r="234" spans="1:16" x14ac:dyDescent="0.3">
      <c r="A234" s="2" t="s">
        <v>1800</v>
      </c>
      <c r="B234" s="3">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s="13" t="str">
        <f>_xlfn.XLOOKUP(Orders[[#This Row],[Customer ID]],customers!$A$1:$A$1001,customers!$I$1:$I$1001,,0)</f>
        <v>No</v>
      </c>
    </row>
    <row r="235" spans="1:16" x14ac:dyDescent="0.3">
      <c r="A235" s="2" t="s">
        <v>1806</v>
      </c>
      <c r="B235" s="3">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s="13" t="str">
        <f>_xlfn.XLOOKUP(Orders[[#This Row],[Customer ID]],customers!$A$1:$A$1001,customers!$I$1:$I$1001,,0)</f>
        <v>No</v>
      </c>
    </row>
    <row r="236" spans="1:16" x14ac:dyDescent="0.3">
      <c r="A236" s="2" t="s">
        <v>1812</v>
      </c>
      <c r="B236" s="3">
        <v>44602</v>
      </c>
      <c r="C236" s="2" t="s">
        <v>1813</v>
      </c>
      <c r="D236" t="s">
        <v>6164</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s="13" t="str">
        <f>_xlfn.XLOOKUP(Orders[[#This Row],[Customer ID]],customers!$A$1:$A$1001,customers!$I$1:$I$1001,,0)</f>
        <v>No</v>
      </c>
    </row>
    <row r="237" spans="1:16" x14ac:dyDescent="0.3">
      <c r="A237" s="2" t="s">
        <v>1818</v>
      </c>
      <c r="B237" s="3">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s="13" t="str">
        <f>_xlfn.XLOOKUP(Orders[[#This Row],[Customer ID]],customers!$A$1:$A$1001,customers!$I$1:$I$1001,,0)</f>
        <v>No</v>
      </c>
    </row>
    <row r="238" spans="1:16" x14ac:dyDescent="0.3">
      <c r="A238" s="2" t="s">
        <v>1822</v>
      </c>
      <c r="B238" s="3">
        <v>43873</v>
      </c>
      <c r="C238" s="2" t="s">
        <v>1823</v>
      </c>
      <c r="D238" t="s">
        <v>6165</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s="13" t="str">
        <f>_xlfn.XLOOKUP(Orders[[#This Row],[Customer ID]],customers!$A$1:$A$1001,customers!$I$1:$I$1001,,0)</f>
        <v>No</v>
      </c>
    </row>
    <row r="239" spans="1:16" x14ac:dyDescent="0.3">
      <c r="A239" s="2" t="s">
        <v>1828</v>
      </c>
      <c r="B239" s="3">
        <v>44563</v>
      </c>
      <c r="C239" s="2" t="s">
        <v>1829</v>
      </c>
      <c r="D239" t="s">
        <v>6178</v>
      </c>
      <c r="E239" s="2">
        <v>1</v>
      </c>
      <c r="F239" s="2" t="str">
        <f>_xlfn.XLOOKUP(orders!C239,customers!$A$1:$A$1001,customers!$B$1:$B$1001,,0)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s="13" t="str">
        <f>_xlfn.XLOOKUP(Orders[[#This Row],[Customer ID]],customers!$A$1:$A$1001,customers!$I$1:$I$1001,,0)</f>
        <v>Yes</v>
      </c>
    </row>
    <row r="240" spans="1:16" x14ac:dyDescent="0.3">
      <c r="A240" s="2" t="s">
        <v>1833</v>
      </c>
      <c r="B240" s="3">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s="13" t="str">
        <f>_xlfn.XLOOKUP(Orders[[#This Row],[Customer ID]],customers!$A$1:$A$1001,customers!$I$1:$I$1001,,0)</f>
        <v>Yes</v>
      </c>
    </row>
    <row r="241" spans="1:16" x14ac:dyDescent="0.3">
      <c r="A241" s="2" t="s">
        <v>1839</v>
      </c>
      <c r="B241" s="3">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s="13" t="str">
        <f>_xlfn.XLOOKUP(Orders[[#This Row],[Customer ID]],customers!$A$1:$A$1001,customers!$I$1:$I$1001,,0)</f>
        <v>No</v>
      </c>
    </row>
    <row r="242" spans="1:16" x14ac:dyDescent="0.3">
      <c r="A242" s="2" t="s">
        <v>1845</v>
      </c>
      <c r="B242" s="3">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s="13" t="str">
        <f>_xlfn.XLOOKUP(Orders[[#This Row],[Customer ID]],customers!$A$1:$A$1001,customers!$I$1:$I$1001,,0)</f>
        <v>Yes</v>
      </c>
    </row>
    <row r="243" spans="1:16" x14ac:dyDescent="0.3">
      <c r="A243" s="2" t="s">
        <v>1849</v>
      </c>
      <c r="B243" s="3">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s="13" t="str">
        <f>_xlfn.XLOOKUP(Orders[[#This Row],[Customer ID]],customers!$A$1:$A$1001,customers!$I$1:$I$1001,,0)</f>
        <v>No</v>
      </c>
    </row>
    <row r="244" spans="1:16" x14ac:dyDescent="0.3">
      <c r="A244" s="2" t="s">
        <v>1854</v>
      </c>
      <c r="B244" s="3">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s="13" t="str">
        <f>_xlfn.XLOOKUP(Orders[[#This Row],[Customer ID]],customers!$A$1:$A$1001,customers!$I$1:$I$1001,,0)</f>
        <v>Yes</v>
      </c>
    </row>
    <row r="245" spans="1:16" x14ac:dyDescent="0.3">
      <c r="A245" s="2" t="s">
        <v>1860</v>
      </c>
      <c r="B245" s="3">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s="13" t="str">
        <f>_xlfn.XLOOKUP(Orders[[#This Row],[Customer ID]],customers!$A$1:$A$1001,customers!$I$1:$I$1001,,0)</f>
        <v>Yes</v>
      </c>
    </row>
    <row r="246" spans="1:16" x14ac:dyDescent="0.3">
      <c r="A246" s="2" t="s">
        <v>1866</v>
      </c>
      <c r="B246" s="3">
        <v>44702</v>
      </c>
      <c r="C246" s="2" t="s">
        <v>1867</v>
      </c>
      <c r="D246" t="s">
        <v>6181</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s="13" t="str">
        <f>_xlfn.XLOOKUP(Orders[[#This Row],[Customer ID]],customers!$A$1:$A$1001,customers!$I$1:$I$1001,,0)</f>
        <v>No</v>
      </c>
    </row>
    <row r="247" spans="1:16" x14ac:dyDescent="0.3">
      <c r="A247" s="2" t="s">
        <v>1872</v>
      </c>
      <c r="B247" s="3">
        <v>43951</v>
      </c>
      <c r="C247" s="2" t="s">
        <v>1873</v>
      </c>
      <c r="D247" t="s">
        <v>6145</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s="13" t="str">
        <f>_xlfn.XLOOKUP(Orders[[#This Row],[Customer ID]],customers!$A$1:$A$1001,customers!$I$1:$I$1001,,0)</f>
        <v>Yes</v>
      </c>
    </row>
    <row r="248" spans="1:16" x14ac:dyDescent="0.3">
      <c r="A248" s="2" t="s">
        <v>1878</v>
      </c>
      <c r="B248" s="3">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s="13" t="str">
        <f>_xlfn.XLOOKUP(Orders[[#This Row],[Customer ID]],customers!$A$1:$A$1001,customers!$I$1:$I$1001,,0)</f>
        <v>No</v>
      </c>
    </row>
    <row r="249" spans="1:16" x14ac:dyDescent="0.3">
      <c r="A249" s="2" t="s">
        <v>1884</v>
      </c>
      <c r="B249" s="3">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s="13" t="str">
        <f>_xlfn.XLOOKUP(Orders[[#This Row],[Customer ID]],customers!$A$1:$A$1001,customers!$I$1:$I$1001,,0)</f>
        <v>Yes</v>
      </c>
    </row>
    <row r="250" spans="1:16" x14ac:dyDescent="0.3">
      <c r="A250" s="2" t="s">
        <v>1889</v>
      </c>
      <c r="B250" s="3">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s="13" t="str">
        <f>_xlfn.XLOOKUP(Orders[[#This Row],[Customer ID]],customers!$A$1:$A$1001,customers!$I$1:$I$1001,,0)</f>
        <v>Yes</v>
      </c>
    </row>
    <row r="251" spans="1:16" x14ac:dyDescent="0.3">
      <c r="A251" s="2" t="s">
        <v>1895</v>
      </c>
      <c r="B251" s="3">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s="13" t="str">
        <f>_xlfn.XLOOKUP(Orders[[#This Row],[Customer ID]],customers!$A$1:$A$1001,customers!$I$1:$I$1001,,0)</f>
        <v>Yes</v>
      </c>
    </row>
    <row r="252" spans="1:16" x14ac:dyDescent="0.3">
      <c r="A252" s="2" t="s">
        <v>1900</v>
      </c>
      <c r="B252" s="3">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s="13" t="str">
        <f>_xlfn.XLOOKUP(Orders[[#This Row],[Customer ID]],customers!$A$1:$A$1001,customers!$I$1:$I$1001,,0)</f>
        <v>Yes</v>
      </c>
    </row>
    <row r="253" spans="1:16" x14ac:dyDescent="0.3">
      <c r="A253" s="2" t="s">
        <v>1906</v>
      </c>
      <c r="B253" s="3">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s="13" t="str">
        <f>_xlfn.XLOOKUP(Orders[[#This Row],[Customer ID]],customers!$A$1:$A$1001,customers!$I$1:$I$1001,,0)</f>
        <v>Yes</v>
      </c>
    </row>
    <row r="254" spans="1:16" x14ac:dyDescent="0.3">
      <c r="A254" s="2" t="s">
        <v>1912</v>
      </c>
      <c r="B254" s="3">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s="13" t="str">
        <f>_xlfn.XLOOKUP(Orders[[#This Row],[Customer ID]],customers!$A$1:$A$1001,customers!$I$1:$I$1001,,0)</f>
        <v>No</v>
      </c>
    </row>
    <row r="255" spans="1:16" x14ac:dyDescent="0.3">
      <c r="A255" s="2" t="s">
        <v>1917</v>
      </c>
      <c r="B255" s="3">
        <v>44523</v>
      </c>
      <c r="C255" s="2" t="s">
        <v>1918</v>
      </c>
      <c r="D255" t="s">
        <v>6162</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s="13" t="str">
        <f>_xlfn.XLOOKUP(Orders[[#This Row],[Customer ID]],customers!$A$1:$A$1001,customers!$I$1:$I$1001,,0)</f>
        <v>No</v>
      </c>
    </row>
    <row r="256" spans="1:16" x14ac:dyDescent="0.3">
      <c r="A256" s="2" t="s">
        <v>1923</v>
      </c>
      <c r="B256" s="3">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s="13" t="str">
        <f>_xlfn.XLOOKUP(Orders[[#This Row],[Customer ID]],customers!$A$1:$A$1001,customers!$I$1:$I$1001,,0)</f>
        <v>No</v>
      </c>
    </row>
    <row r="257" spans="1:16" x14ac:dyDescent="0.3">
      <c r="A257" s="2" t="s">
        <v>1928</v>
      </c>
      <c r="B257" s="3">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s="13" t="str">
        <f>_xlfn.XLOOKUP(Orders[[#This Row],[Customer ID]],customers!$A$1:$A$1001,customers!$I$1:$I$1001,,0)</f>
        <v>No</v>
      </c>
    </row>
    <row r="258" spans="1:16" x14ac:dyDescent="0.3">
      <c r="A258" s="2" t="s">
        <v>1934</v>
      </c>
      <c r="B258" s="3">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s="13" t="str">
        <f>_xlfn.XLOOKUP(Orders[[#This Row],[Customer ID]],customers!$A$1:$A$1001,customers!$I$1:$I$1001,,0)</f>
        <v>Yes</v>
      </c>
    </row>
    <row r="259" spans="1:16" x14ac:dyDescent="0.3">
      <c r="A259" s="2" t="s">
        <v>1940</v>
      </c>
      <c r="B259" s="3">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s="13" t="str">
        <f>_xlfn.XLOOKUP(Orders[[#This Row],[Customer ID]],customers!$A$1:$A$1001,customers!$I$1:$I$1001,,0)</f>
        <v>Yes</v>
      </c>
    </row>
    <row r="260" spans="1:16" x14ac:dyDescent="0.3">
      <c r="A260" s="2" t="s">
        <v>1946</v>
      </c>
      <c r="B260" s="3">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s="13" t="str">
        <f>_xlfn.XLOOKUP(Orders[[#This Row],[Customer ID]],customers!$A$1:$A$1001,customers!$I$1:$I$1001,,0)</f>
        <v>No</v>
      </c>
    </row>
    <row r="261" spans="1:16" x14ac:dyDescent="0.3">
      <c r="A261" s="2" t="s">
        <v>1952</v>
      </c>
      <c r="B261" s="3">
        <v>44355</v>
      </c>
      <c r="C261" s="2" t="s">
        <v>1953</v>
      </c>
      <c r="D261" t="s">
        <v>6174</v>
      </c>
      <c r="E261" s="2">
        <v>2</v>
      </c>
      <c r="F261" s="2" t="str">
        <f>_xlfn.XLOOKUP(orders!C261,customers!$A$1:$A$1001,customers!$B$1:$B$1001,,0)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s="13" t="str">
        <f>_xlfn.XLOOKUP(Orders[[#This Row],[Customer ID]],customers!$A$1:$A$1001,customers!$I$1:$I$1001,,0)</f>
        <v>No</v>
      </c>
    </row>
    <row r="262" spans="1:16" x14ac:dyDescent="0.3">
      <c r="A262" s="2" t="s">
        <v>1958</v>
      </c>
      <c r="B262" s="3">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s="13" t="str">
        <f>_xlfn.XLOOKUP(Orders[[#This Row],[Customer ID]],customers!$A$1:$A$1001,customers!$I$1:$I$1001,,0)</f>
        <v>Yes</v>
      </c>
    </row>
    <row r="263" spans="1:16" x14ac:dyDescent="0.3">
      <c r="A263" s="2" t="s">
        <v>1963</v>
      </c>
      <c r="B263" s="3">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s="13" t="str">
        <f>_xlfn.XLOOKUP(Orders[[#This Row],[Customer ID]],customers!$A$1:$A$1001,customers!$I$1:$I$1001,,0)</f>
        <v>Yes</v>
      </c>
    </row>
    <row r="264" spans="1:16" x14ac:dyDescent="0.3">
      <c r="A264" s="2" t="s">
        <v>1969</v>
      </c>
      <c r="B264" s="3">
        <v>43693</v>
      </c>
      <c r="C264" s="2" t="s">
        <v>1970</v>
      </c>
      <c r="D264" t="s">
        <v>6141</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s="13" t="str">
        <f>_xlfn.XLOOKUP(Orders[[#This Row],[Customer ID]],customers!$A$1:$A$1001,customers!$I$1:$I$1001,,0)</f>
        <v>No</v>
      </c>
    </row>
    <row r="265" spans="1:16" x14ac:dyDescent="0.3">
      <c r="A265" s="2" t="s">
        <v>1975</v>
      </c>
      <c r="B265" s="3">
        <v>43577</v>
      </c>
      <c r="C265" s="2" t="s">
        <v>1976</v>
      </c>
      <c r="D265" t="s">
        <v>6181</v>
      </c>
      <c r="E265" s="2">
        <v>4</v>
      </c>
      <c r="F265" s="2" t="str">
        <f>_xlfn.XLOOKUP(orders!C265,customers!$A$1:$A$1001,customers!$B$1:$B$1001,,0)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s="13" t="str">
        <f>_xlfn.XLOOKUP(Orders[[#This Row],[Customer ID]],customers!$A$1:$A$1001,customers!$I$1:$I$1001,,0)</f>
        <v>No</v>
      </c>
    </row>
    <row r="266" spans="1:16" x14ac:dyDescent="0.3">
      <c r="A266" s="2" t="s">
        <v>1980</v>
      </c>
      <c r="B266" s="3">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s="13" t="str">
        <f>_xlfn.XLOOKUP(Orders[[#This Row],[Customer ID]],customers!$A$1:$A$1001,customers!$I$1:$I$1001,,0)</f>
        <v>Yes</v>
      </c>
    </row>
    <row r="267" spans="1:16" x14ac:dyDescent="0.3">
      <c r="A267" s="2" t="s">
        <v>1986</v>
      </c>
      <c r="B267" s="3">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s="13" t="str">
        <f>_xlfn.XLOOKUP(Orders[[#This Row],[Customer ID]],customers!$A$1:$A$1001,customers!$I$1:$I$1001,,0)</f>
        <v>Yes</v>
      </c>
    </row>
    <row r="268" spans="1:16" x14ac:dyDescent="0.3">
      <c r="A268" s="2" t="s">
        <v>1992</v>
      </c>
      <c r="B268" s="3">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s="13" t="str">
        <f>_xlfn.XLOOKUP(Orders[[#This Row],[Customer ID]],customers!$A$1:$A$1001,customers!$I$1:$I$1001,,0)</f>
        <v>No</v>
      </c>
    </row>
    <row r="269" spans="1:16" x14ac:dyDescent="0.3">
      <c r="A269" s="2" t="s">
        <v>1998</v>
      </c>
      <c r="B269" s="3">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s="13" t="str">
        <f>_xlfn.XLOOKUP(Orders[[#This Row],[Customer ID]],customers!$A$1:$A$1001,customers!$I$1:$I$1001,,0)</f>
        <v>Yes</v>
      </c>
    </row>
    <row r="270" spans="1:16" x14ac:dyDescent="0.3">
      <c r="A270" s="2" t="s">
        <v>2004</v>
      </c>
      <c r="B270" s="3">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s="13" t="str">
        <f>_xlfn.XLOOKUP(Orders[[#This Row],[Customer ID]],customers!$A$1:$A$1001,customers!$I$1:$I$1001,,0)</f>
        <v>Yes</v>
      </c>
    </row>
    <row r="271" spans="1:16" x14ac:dyDescent="0.3">
      <c r="A271" s="2" t="s">
        <v>2009</v>
      </c>
      <c r="B271" s="3">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s="13" t="str">
        <f>_xlfn.XLOOKUP(Orders[[#This Row],[Customer ID]],customers!$A$1:$A$1001,customers!$I$1:$I$1001,,0)</f>
        <v>No</v>
      </c>
    </row>
    <row r="272" spans="1:16" x14ac:dyDescent="0.3">
      <c r="A272" s="2" t="s">
        <v>2015</v>
      </c>
      <c r="B272" s="3">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s="13" t="str">
        <f>_xlfn.XLOOKUP(Orders[[#This Row],[Customer ID]],customers!$A$1:$A$1001,customers!$I$1:$I$1001,,0)</f>
        <v>Yes</v>
      </c>
    </row>
    <row r="273" spans="1:16" x14ac:dyDescent="0.3">
      <c r="A273" s="2" t="s">
        <v>2019</v>
      </c>
      <c r="B273" s="3">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s="13" t="str">
        <f>_xlfn.XLOOKUP(Orders[[#This Row],[Customer ID]],customers!$A$1:$A$1001,customers!$I$1:$I$1001,,0)</f>
        <v>Yes</v>
      </c>
    </row>
    <row r="274" spans="1:16" x14ac:dyDescent="0.3">
      <c r="A274" s="2" t="s">
        <v>2025</v>
      </c>
      <c r="B274" s="3">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s="13" t="str">
        <f>_xlfn.XLOOKUP(Orders[[#This Row],[Customer ID]],customers!$A$1:$A$1001,customers!$I$1:$I$1001,,0)</f>
        <v>Yes</v>
      </c>
    </row>
    <row r="275" spans="1:16" x14ac:dyDescent="0.3">
      <c r="A275" s="2" t="s">
        <v>2032</v>
      </c>
      <c r="B275" s="3">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s="13" t="str">
        <f>_xlfn.XLOOKUP(Orders[[#This Row],[Customer ID]],customers!$A$1:$A$1001,customers!$I$1:$I$1001,,0)</f>
        <v>No</v>
      </c>
    </row>
    <row r="276" spans="1:16" x14ac:dyDescent="0.3">
      <c r="A276" s="2" t="s">
        <v>2038</v>
      </c>
      <c r="B276" s="3">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s="13" t="str">
        <f>_xlfn.XLOOKUP(Orders[[#This Row],[Customer ID]],customers!$A$1:$A$1001,customers!$I$1:$I$1001,,0)</f>
        <v>No</v>
      </c>
    </row>
    <row r="277" spans="1:16" x14ac:dyDescent="0.3">
      <c r="A277" s="2" t="s">
        <v>2044</v>
      </c>
      <c r="B277" s="3">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s="13" t="str">
        <f>_xlfn.XLOOKUP(Orders[[#This Row],[Customer ID]],customers!$A$1:$A$1001,customers!$I$1:$I$1001,,0)</f>
        <v>No</v>
      </c>
    </row>
    <row r="278" spans="1:16" x14ac:dyDescent="0.3">
      <c r="A278" s="2" t="s">
        <v>2050</v>
      </c>
      <c r="B278" s="3">
        <v>43992</v>
      </c>
      <c r="C278" s="2" t="s">
        <v>2051</v>
      </c>
      <c r="D278" t="s">
        <v>6142</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s="13" t="str">
        <f>_xlfn.XLOOKUP(Orders[[#This Row],[Customer ID]],customers!$A$1:$A$1001,customers!$I$1:$I$1001,,0)</f>
        <v>Yes</v>
      </c>
    </row>
    <row r="279" spans="1:16" x14ac:dyDescent="0.3">
      <c r="A279" s="2" t="s">
        <v>2056</v>
      </c>
      <c r="B279" s="3">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s="13" t="str">
        <f>_xlfn.XLOOKUP(Orders[[#This Row],[Customer ID]],customers!$A$1:$A$1001,customers!$I$1:$I$1001,,0)</f>
        <v>No</v>
      </c>
    </row>
    <row r="280" spans="1:16" x14ac:dyDescent="0.3">
      <c r="A280" s="2" t="s">
        <v>2062</v>
      </c>
      <c r="B280" s="3">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s="13" t="str">
        <f>_xlfn.XLOOKUP(Orders[[#This Row],[Customer ID]],customers!$A$1:$A$1001,customers!$I$1:$I$1001,,0)</f>
        <v>Yes</v>
      </c>
    </row>
    <row r="281" spans="1:16" x14ac:dyDescent="0.3">
      <c r="A281" s="2" t="s">
        <v>2068</v>
      </c>
      <c r="B281" s="3">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s="13" t="str">
        <f>_xlfn.XLOOKUP(Orders[[#This Row],[Customer ID]],customers!$A$1:$A$1001,customers!$I$1:$I$1001,,0)</f>
        <v>Yes</v>
      </c>
    </row>
    <row r="282" spans="1:16" x14ac:dyDescent="0.3">
      <c r="A282" s="2" t="s">
        <v>2074</v>
      </c>
      <c r="B282" s="3">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s="13" t="str">
        <f>_xlfn.XLOOKUP(Orders[[#This Row],[Customer ID]],customers!$A$1:$A$1001,customers!$I$1:$I$1001,,0)</f>
        <v>Yes</v>
      </c>
    </row>
    <row r="283" spans="1:16" x14ac:dyDescent="0.3">
      <c r="A283" s="2" t="s">
        <v>2079</v>
      </c>
      <c r="B283" s="3">
        <v>44210</v>
      </c>
      <c r="C283" s="2" t="s">
        <v>2080</v>
      </c>
      <c r="D283" t="s">
        <v>6171</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s="13" t="str">
        <f>_xlfn.XLOOKUP(Orders[[#This Row],[Customer ID]],customers!$A$1:$A$1001,customers!$I$1:$I$1001,,0)</f>
        <v>Yes</v>
      </c>
    </row>
    <row r="284" spans="1:16" x14ac:dyDescent="0.3">
      <c r="A284" s="2" t="s">
        <v>2085</v>
      </c>
      <c r="B284" s="3">
        <v>43520</v>
      </c>
      <c r="C284" s="2" t="s">
        <v>2086</v>
      </c>
      <c r="D284" t="s">
        <v>6180</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s="13" t="str">
        <f>_xlfn.XLOOKUP(Orders[[#This Row],[Customer ID]],customers!$A$1:$A$1001,customers!$I$1:$I$1001,,0)</f>
        <v>No</v>
      </c>
    </row>
    <row r="285" spans="1:16" x14ac:dyDescent="0.3">
      <c r="A285" s="2" t="s">
        <v>2091</v>
      </c>
      <c r="B285" s="3">
        <v>43639</v>
      </c>
      <c r="C285" s="2" t="s">
        <v>2092</v>
      </c>
      <c r="D285" t="s">
        <v>6172</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s="13" t="str">
        <f>_xlfn.XLOOKUP(Orders[[#This Row],[Customer ID]],customers!$A$1:$A$1001,customers!$I$1:$I$1001,,0)</f>
        <v>Yes</v>
      </c>
    </row>
    <row r="286" spans="1:16" x14ac:dyDescent="0.3">
      <c r="A286" s="2" t="s">
        <v>2097</v>
      </c>
      <c r="B286" s="3">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s="13" t="str">
        <f>_xlfn.XLOOKUP(Orders[[#This Row],[Customer ID]],customers!$A$1:$A$1001,customers!$I$1:$I$1001,,0)</f>
        <v>No</v>
      </c>
    </row>
    <row r="287" spans="1:16" x14ac:dyDescent="0.3">
      <c r="A287" s="2" t="s">
        <v>2102</v>
      </c>
      <c r="B287" s="3">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s="13" t="str">
        <f>_xlfn.XLOOKUP(Orders[[#This Row],[Customer ID]],customers!$A$1:$A$1001,customers!$I$1:$I$1001,,0)</f>
        <v>No</v>
      </c>
    </row>
    <row r="288" spans="1:16" x14ac:dyDescent="0.3">
      <c r="A288" s="2" t="s">
        <v>2107</v>
      </c>
      <c r="B288" s="3">
        <v>43755</v>
      </c>
      <c r="C288" s="2" t="s">
        <v>2108</v>
      </c>
      <c r="D288" t="s">
        <v>6152</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s="13" t="str">
        <f>_xlfn.XLOOKUP(Orders[[#This Row],[Customer ID]],customers!$A$1:$A$1001,customers!$I$1:$I$1001,,0)</f>
        <v>Yes</v>
      </c>
    </row>
    <row r="289" spans="1:16" x14ac:dyDescent="0.3">
      <c r="A289" s="2" t="s">
        <v>2112</v>
      </c>
      <c r="B289" s="3">
        <v>44697</v>
      </c>
      <c r="C289" s="2" t="s">
        <v>2113</v>
      </c>
      <c r="D289" t="s">
        <v>6178</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s="13" t="str">
        <f>_xlfn.XLOOKUP(Orders[[#This Row],[Customer ID]],customers!$A$1:$A$1001,customers!$I$1:$I$1001,,0)</f>
        <v>No</v>
      </c>
    </row>
    <row r="290" spans="1:16" x14ac:dyDescent="0.3">
      <c r="A290" s="2" t="s">
        <v>2118</v>
      </c>
      <c r="B290" s="3">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s="13" t="str">
        <f>_xlfn.XLOOKUP(Orders[[#This Row],[Customer ID]],customers!$A$1:$A$1001,customers!$I$1:$I$1001,,0)</f>
        <v>Yes</v>
      </c>
    </row>
    <row r="291" spans="1:16" x14ac:dyDescent="0.3">
      <c r="A291" s="2" t="s">
        <v>2123</v>
      </c>
      <c r="B291" s="3">
        <v>43772</v>
      </c>
      <c r="C291" s="2" t="s">
        <v>2124</v>
      </c>
      <c r="D291" t="s">
        <v>6163</v>
      </c>
      <c r="E291" s="2">
        <v>5</v>
      </c>
      <c r="F291" s="2" t="str">
        <f>_xlfn.XLOOKUP(orders!C291,customers!$A$1:$A$1001,customers!$B$1:$B$1001,,0)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s="13" t="str">
        <f>_xlfn.XLOOKUP(Orders[[#This Row],[Customer ID]],customers!$A$1:$A$1001,customers!$I$1:$I$1001,,0)</f>
        <v>Yes</v>
      </c>
    </row>
    <row r="292" spans="1:16" x14ac:dyDescent="0.3">
      <c r="A292" s="2" t="s">
        <v>2127</v>
      </c>
      <c r="B292" s="3">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s="13" t="str">
        <f>_xlfn.XLOOKUP(Orders[[#This Row],[Customer ID]],customers!$A$1:$A$1001,customers!$I$1:$I$1001,,0)</f>
        <v>No</v>
      </c>
    </row>
    <row r="293" spans="1:16" x14ac:dyDescent="0.3">
      <c r="A293" s="2" t="s">
        <v>2133</v>
      </c>
      <c r="B293" s="3">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s="13" t="str">
        <f>_xlfn.XLOOKUP(Orders[[#This Row],[Customer ID]],customers!$A$1:$A$1001,customers!$I$1:$I$1001,,0)</f>
        <v>No</v>
      </c>
    </row>
    <row r="294" spans="1:16" x14ac:dyDescent="0.3">
      <c r="A294" s="2" t="s">
        <v>2137</v>
      </c>
      <c r="B294" s="3">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s="13" t="str">
        <f>_xlfn.XLOOKUP(Orders[[#This Row],[Customer ID]],customers!$A$1:$A$1001,customers!$I$1:$I$1001,,0)</f>
        <v>No</v>
      </c>
    </row>
    <row r="295" spans="1:16" x14ac:dyDescent="0.3">
      <c r="A295" s="2" t="s">
        <v>2142</v>
      </c>
      <c r="B295" s="3">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s="13" t="str">
        <f>_xlfn.XLOOKUP(Orders[[#This Row],[Customer ID]],customers!$A$1:$A$1001,customers!$I$1:$I$1001,,0)</f>
        <v>No</v>
      </c>
    </row>
    <row r="296" spans="1:16" x14ac:dyDescent="0.3">
      <c r="A296" s="2" t="s">
        <v>2148</v>
      </c>
      <c r="B296" s="3">
        <v>44659</v>
      </c>
      <c r="C296" s="2" t="s">
        <v>2149</v>
      </c>
      <c r="D296" t="s">
        <v>6171</v>
      </c>
      <c r="E296" s="2">
        <v>3</v>
      </c>
      <c r="F296" s="2" t="str">
        <f>_xlfn.XLOOKUP(orders!C296,customers!$A$1:$A$1001,customers!$B$1:$B$1001,,0)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s="13" t="str">
        <f>_xlfn.XLOOKUP(Orders[[#This Row],[Customer ID]],customers!$A$1:$A$1001,customers!$I$1:$I$1001,,0)</f>
        <v>No</v>
      </c>
    </row>
    <row r="297" spans="1:16" x14ac:dyDescent="0.3">
      <c r="A297" s="2" t="s">
        <v>2153</v>
      </c>
      <c r="B297" s="3">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s="13" t="str">
        <f>_xlfn.XLOOKUP(Orders[[#This Row],[Customer ID]],customers!$A$1:$A$1001,customers!$I$1:$I$1001,,0)</f>
        <v>No</v>
      </c>
    </row>
    <row r="298" spans="1:16" x14ac:dyDescent="0.3">
      <c r="A298" s="2" t="s">
        <v>2157</v>
      </c>
      <c r="B298" s="3">
        <v>43597</v>
      </c>
      <c r="C298" s="2" t="s">
        <v>2158</v>
      </c>
      <c r="D298" t="s">
        <v>6146</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s="13" t="str">
        <f>_xlfn.XLOOKUP(Orders[[#This Row],[Customer ID]],customers!$A$1:$A$1001,customers!$I$1:$I$1001,,0)</f>
        <v>Yes</v>
      </c>
    </row>
    <row r="299" spans="1:16" x14ac:dyDescent="0.3">
      <c r="A299" s="2" t="s">
        <v>2163</v>
      </c>
      <c r="B299" s="3">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s="13" t="str">
        <f>_xlfn.XLOOKUP(Orders[[#This Row],[Customer ID]],customers!$A$1:$A$1001,customers!$I$1:$I$1001,,0)</f>
        <v>Yes</v>
      </c>
    </row>
    <row r="300" spans="1:16" x14ac:dyDescent="0.3">
      <c r="A300" s="2" t="s">
        <v>2169</v>
      </c>
      <c r="B300" s="3">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s="13" t="str">
        <f>_xlfn.XLOOKUP(Orders[[#This Row],[Customer ID]],customers!$A$1:$A$1001,customers!$I$1:$I$1001,,0)</f>
        <v>Yes</v>
      </c>
    </row>
    <row r="301" spans="1:16" x14ac:dyDescent="0.3">
      <c r="A301" s="2" t="s">
        <v>2175</v>
      </c>
      <c r="B301" s="3">
        <v>43582</v>
      </c>
      <c r="C301" s="2" t="s">
        <v>2176</v>
      </c>
      <c r="D301" t="s">
        <v>6148</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s="13" t="str">
        <f>_xlfn.XLOOKUP(Orders[[#This Row],[Customer ID]],customers!$A$1:$A$1001,customers!$I$1:$I$1001,,0)</f>
        <v>Yes</v>
      </c>
    </row>
    <row r="302" spans="1:16" x14ac:dyDescent="0.3">
      <c r="A302" s="2" t="s">
        <v>2181</v>
      </c>
      <c r="B302" s="3">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s="13" t="str">
        <f>_xlfn.XLOOKUP(Orders[[#This Row],[Customer ID]],customers!$A$1:$A$1001,customers!$I$1:$I$1001,,0)</f>
        <v>Yes</v>
      </c>
    </row>
    <row r="303" spans="1:16" x14ac:dyDescent="0.3">
      <c r="A303" s="2" t="s">
        <v>2187</v>
      </c>
      <c r="B303" s="3">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s="13" t="str">
        <f>_xlfn.XLOOKUP(Orders[[#This Row],[Customer ID]],customers!$A$1:$A$1001,customers!$I$1:$I$1001,,0)</f>
        <v>Yes</v>
      </c>
    </row>
    <row r="304" spans="1:16" x14ac:dyDescent="0.3">
      <c r="A304" s="2" t="s">
        <v>2193</v>
      </c>
      <c r="B304" s="3">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s="13" t="str">
        <f>_xlfn.XLOOKUP(Orders[[#This Row],[Customer ID]],customers!$A$1:$A$1001,customers!$I$1:$I$1001,,0)</f>
        <v>No</v>
      </c>
    </row>
    <row r="305" spans="1:16" x14ac:dyDescent="0.3">
      <c r="A305" s="2" t="s">
        <v>2199</v>
      </c>
      <c r="B305" s="3">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s="13" t="str">
        <f>_xlfn.XLOOKUP(Orders[[#This Row],[Customer ID]],customers!$A$1:$A$1001,customers!$I$1:$I$1001,,0)</f>
        <v>Yes</v>
      </c>
    </row>
    <row r="306" spans="1:16" x14ac:dyDescent="0.3">
      <c r="A306" s="2" t="s">
        <v>2204</v>
      </c>
      <c r="B306" s="3">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s="13" t="str">
        <f>_xlfn.XLOOKUP(Orders[[#This Row],[Customer ID]],customers!$A$1:$A$1001,customers!$I$1:$I$1001,,0)</f>
        <v>Yes</v>
      </c>
    </row>
    <row r="307" spans="1:16" x14ac:dyDescent="0.3">
      <c r="A307" s="2" t="s">
        <v>2209</v>
      </c>
      <c r="B307" s="3">
        <v>43796</v>
      </c>
      <c r="C307" s="2" t="s">
        <v>2210</v>
      </c>
      <c r="D307" t="s">
        <v>6159</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s="13" t="str">
        <f>_xlfn.XLOOKUP(Orders[[#This Row],[Customer ID]],customers!$A$1:$A$1001,customers!$I$1:$I$1001,,0)</f>
        <v>No</v>
      </c>
    </row>
    <row r="308" spans="1:16" x14ac:dyDescent="0.3">
      <c r="A308" s="2" t="s">
        <v>2215</v>
      </c>
      <c r="B308" s="3">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s="13" t="str">
        <f>_xlfn.XLOOKUP(Orders[[#This Row],[Customer ID]],customers!$A$1:$A$1001,customers!$I$1:$I$1001,,0)</f>
        <v>No</v>
      </c>
    </row>
    <row r="309" spans="1:16" x14ac:dyDescent="0.3">
      <c r="A309" s="2" t="s">
        <v>2221</v>
      </c>
      <c r="B309" s="3">
        <v>44227</v>
      </c>
      <c r="C309" s="2" t="s">
        <v>2222</v>
      </c>
      <c r="D309" t="s">
        <v>6155</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s="13" t="str">
        <f>_xlfn.XLOOKUP(Orders[[#This Row],[Customer ID]],customers!$A$1:$A$1001,customers!$I$1:$I$1001,,0)</f>
        <v>Yes</v>
      </c>
    </row>
    <row r="310" spans="1:16" x14ac:dyDescent="0.3">
      <c r="A310" s="2" t="s">
        <v>2227</v>
      </c>
      <c r="B310" s="3">
        <v>44729</v>
      </c>
      <c r="C310" s="2" t="s">
        <v>2228</v>
      </c>
      <c r="D310" t="s">
        <v>6155</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s="13" t="str">
        <f>_xlfn.XLOOKUP(Orders[[#This Row],[Customer ID]],customers!$A$1:$A$1001,customers!$I$1:$I$1001,,0)</f>
        <v>No</v>
      </c>
    </row>
    <row r="311" spans="1:16" x14ac:dyDescent="0.3">
      <c r="A311" s="2" t="s">
        <v>2232</v>
      </c>
      <c r="B311" s="3">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s="13" t="str">
        <f>_xlfn.XLOOKUP(Orders[[#This Row],[Customer ID]],customers!$A$1:$A$1001,customers!$I$1:$I$1001,,0)</f>
        <v>Yes</v>
      </c>
    </row>
    <row r="312" spans="1:16" x14ac:dyDescent="0.3">
      <c r="A312" s="2" t="s">
        <v>2238</v>
      </c>
      <c r="B312" s="3">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s="13" t="str">
        <f>_xlfn.XLOOKUP(Orders[[#This Row],[Customer ID]],customers!$A$1:$A$1001,customers!$I$1:$I$1001,,0)</f>
        <v>No</v>
      </c>
    </row>
    <row r="313" spans="1:16" x14ac:dyDescent="0.3">
      <c r="A313" s="2" t="s">
        <v>2244</v>
      </c>
      <c r="B313" s="3">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s="13" t="str">
        <f>_xlfn.XLOOKUP(Orders[[#This Row],[Customer ID]],customers!$A$1:$A$1001,customers!$I$1:$I$1001,,0)</f>
        <v>Yes</v>
      </c>
    </row>
    <row r="314" spans="1:16" x14ac:dyDescent="0.3">
      <c r="A314" s="2" t="s">
        <v>2250</v>
      </c>
      <c r="B314" s="3">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s="13" t="str">
        <f>_xlfn.XLOOKUP(Orders[[#This Row],[Customer ID]],customers!$A$1:$A$1001,customers!$I$1:$I$1001,,0)</f>
        <v>Yes</v>
      </c>
    </row>
    <row r="315" spans="1:16" x14ac:dyDescent="0.3">
      <c r="A315" s="2" t="s">
        <v>2256</v>
      </c>
      <c r="B315" s="3">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s="13" t="str">
        <f>_xlfn.XLOOKUP(Orders[[#This Row],[Customer ID]],customers!$A$1:$A$1001,customers!$I$1:$I$1001,,0)</f>
        <v>Yes</v>
      </c>
    </row>
    <row r="316" spans="1:16" x14ac:dyDescent="0.3">
      <c r="A316" s="2" t="s">
        <v>2262</v>
      </c>
      <c r="B316" s="3">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s="13" t="str">
        <f>_xlfn.XLOOKUP(Orders[[#This Row],[Customer ID]],customers!$A$1:$A$1001,customers!$I$1:$I$1001,,0)</f>
        <v>No</v>
      </c>
    </row>
    <row r="317" spans="1:16" x14ac:dyDescent="0.3">
      <c r="A317" s="2" t="s">
        <v>2267</v>
      </c>
      <c r="B317" s="3">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s="13" t="str">
        <f>_xlfn.XLOOKUP(Orders[[#This Row],[Customer ID]],customers!$A$1:$A$1001,customers!$I$1:$I$1001,,0)</f>
        <v>Yes</v>
      </c>
    </row>
    <row r="318" spans="1:16" x14ac:dyDescent="0.3">
      <c r="A318" s="2" t="s">
        <v>2273</v>
      </c>
      <c r="B318" s="3">
        <v>43641</v>
      </c>
      <c r="C318" s="2" t="s">
        <v>2274</v>
      </c>
      <c r="D318" t="s">
        <v>6148</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s="13" t="str">
        <f>_xlfn.XLOOKUP(Orders[[#This Row],[Customer ID]],customers!$A$1:$A$1001,customers!$I$1:$I$1001,,0)</f>
        <v>No</v>
      </c>
    </row>
    <row r="319" spans="1:16" x14ac:dyDescent="0.3">
      <c r="A319" s="2" t="s">
        <v>2279</v>
      </c>
      <c r="B319" s="3">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s="13" t="str">
        <f>_xlfn.XLOOKUP(Orders[[#This Row],[Customer ID]],customers!$A$1:$A$1001,customers!$I$1:$I$1001,,0)</f>
        <v>No</v>
      </c>
    </row>
    <row r="320" spans="1:16" x14ac:dyDescent="0.3">
      <c r="A320" s="2" t="s">
        <v>2285</v>
      </c>
      <c r="B320" s="3">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s="13" t="str">
        <f>_xlfn.XLOOKUP(Orders[[#This Row],[Customer ID]],customers!$A$1:$A$1001,customers!$I$1:$I$1001,,0)</f>
        <v>Yes</v>
      </c>
    </row>
    <row r="321" spans="1:16" x14ac:dyDescent="0.3">
      <c r="A321" s="2" t="s">
        <v>2291</v>
      </c>
      <c r="B321" s="3">
        <v>43676</v>
      </c>
      <c r="C321" s="2" t="s">
        <v>2292</v>
      </c>
      <c r="D321" t="s">
        <v>6156</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s="13" t="str">
        <f>_xlfn.XLOOKUP(Orders[[#This Row],[Customer ID]],customers!$A$1:$A$1001,customers!$I$1:$I$1001,,0)</f>
        <v>Yes</v>
      </c>
    </row>
    <row r="322" spans="1:16" x14ac:dyDescent="0.3">
      <c r="A322" s="2" t="s">
        <v>2291</v>
      </c>
      <c r="B322" s="3">
        <v>43676</v>
      </c>
      <c r="C322" s="2" t="s">
        <v>2292</v>
      </c>
      <c r="D322" t="s">
        <v>6167</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s="13" t="str">
        <f>_xlfn.XLOOKUP(Orders[[#This Row],[Customer ID]],customers!$A$1:$A$1001,customers!$I$1:$I$1001,,0)</f>
        <v>Yes</v>
      </c>
    </row>
    <row r="323" spans="1:16" x14ac:dyDescent="0.3">
      <c r="A323" s="2" t="s">
        <v>2301</v>
      </c>
      <c r="B323" s="3">
        <v>44170</v>
      </c>
      <c r="C323" s="2" t="s">
        <v>2302</v>
      </c>
      <c r="D323" t="s">
        <v>6152</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s="13" t="str">
        <f>_xlfn.XLOOKUP(Orders[[#This Row],[Customer ID]],customers!$A$1:$A$1001,customers!$I$1:$I$1001,,0)</f>
        <v>Yes</v>
      </c>
    </row>
    <row r="324" spans="1:16" x14ac:dyDescent="0.3">
      <c r="A324" s="2" t="s">
        <v>2307</v>
      </c>
      <c r="B324" s="3">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s="13" t="str">
        <f>_xlfn.XLOOKUP(Orders[[#This Row],[Customer ID]],customers!$A$1:$A$1001,customers!$I$1:$I$1001,,0)</f>
        <v>No</v>
      </c>
    </row>
    <row r="325" spans="1:16" x14ac:dyDescent="0.3">
      <c r="A325" s="2" t="s">
        <v>2313</v>
      </c>
      <c r="B325" s="3">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s="13" t="str">
        <f>_xlfn.XLOOKUP(Orders[[#This Row],[Customer ID]],customers!$A$1:$A$1001,customers!$I$1:$I$1001,,0)</f>
        <v>Yes</v>
      </c>
    </row>
    <row r="326" spans="1:16" x14ac:dyDescent="0.3">
      <c r="A326" s="2" t="s">
        <v>2319</v>
      </c>
      <c r="B326" s="3">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s="13" t="str">
        <f>_xlfn.XLOOKUP(Orders[[#This Row],[Customer ID]],customers!$A$1:$A$1001,customers!$I$1:$I$1001,,0)</f>
        <v>No</v>
      </c>
    </row>
    <row r="327" spans="1:16" x14ac:dyDescent="0.3">
      <c r="A327" s="2" t="s">
        <v>2324</v>
      </c>
      <c r="B327" s="3">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s="13" t="str">
        <f>_xlfn.XLOOKUP(Orders[[#This Row],[Customer ID]],customers!$A$1:$A$1001,customers!$I$1:$I$1001,,0)</f>
        <v>Yes</v>
      </c>
    </row>
    <row r="328" spans="1:16" x14ac:dyDescent="0.3">
      <c r="A328" s="2" t="s">
        <v>2330</v>
      </c>
      <c r="B328" s="3">
        <v>44057</v>
      </c>
      <c r="C328" s="2" t="s">
        <v>2331</v>
      </c>
      <c r="D328" t="s">
        <v>6177</v>
      </c>
      <c r="E328" s="2">
        <v>5</v>
      </c>
      <c r="F328" s="2" t="str">
        <f>_xlfn.XLOOKUP(orders!C328,customers!$A$1:$A$1001,customers!$B$1:$B$1001,,0)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s="13" t="str">
        <f>_xlfn.XLOOKUP(Orders[[#This Row],[Customer ID]],customers!$A$1:$A$1001,customers!$I$1:$I$1001,,0)</f>
        <v>No</v>
      </c>
    </row>
    <row r="329" spans="1:16" x14ac:dyDescent="0.3">
      <c r="A329" s="2" t="s">
        <v>2335</v>
      </c>
      <c r="B329" s="3">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s="13" t="str">
        <f>_xlfn.XLOOKUP(Orders[[#This Row],[Customer ID]],customers!$A$1:$A$1001,customers!$I$1:$I$1001,,0)</f>
        <v>Yes</v>
      </c>
    </row>
    <row r="330" spans="1:16" x14ac:dyDescent="0.3">
      <c r="A330" s="2" t="s">
        <v>2341</v>
      </c>
      <c r="B330" s="3">
        <v>43620</v>
      </c>
      <c r="C330" s="2" t="s">
        <v>2342</v>
      </c>
      <c r="D330" t="s">
        <v>6161</v>
      </c>
      <c r="E330" s="2">
        <v>4</v>
      </c>
      <c r="F330" s="2" t="str">
        <f>_xlfn.XLOOKUP(orders!C330,customers!$A$1:$A$1001,customers!$B$1:$B$1001,,0)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s="13" t="str">
        <f>_xlfn.XLOOKUP(Orders[[#This Row],[Customer ID]],customers!$A$1:$A$1001,customers!$I$1:$I$1001,,0)</f>
        <v>Yes</v>
      </c>
    </row>
    <row r="331" spans="1:16" x14ac:dyDescent="0.3">
      <c r="A331" s="2" t="s">
        <v>2346</v>
      </c>
      <c r="B331" s="3">
        <v>44781</v>
      </c>
      <c r="C331" s="2" t="s">
        <v>2347</v>
      </c>
      <c r="D331" t="s">
        <v>6172</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s="13" t="str">
        <f>_xlfn.XLOOKUP(Orders[[#This Row],[Customer ID]],customers!$A$1:$A$1001,customers!$I$1:$I$1001,,0)</f>
        <v>Yes</v>
      </c>
    </row>
    <row r="332" spans="1:16" x14ac:dyDescent="0.3">
      <c r="A332" s="2" t="s">
        <v>2351</v>
      </c>
      <c r="B332" s="3">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s="13" t="str">
        <f>_xlfn.XLOOKUP(Orders[[#This Row],[Customer ID]],customers!$A$1:$A$1001,customers!$I$1:$I$1001,,0)</f>
        <v>No</v>
      </c>
    </row>
    <row r="333" spans="1:16" x14ac:dyDescent="0.3">
      <c r="A333" s="2" t="s">
        <v>2357</v>
      </c>
      <c r="B333" s="3">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s="13" t="str">
        <f>_xlfn.XLOOKUP(Orders[[#This Row],[Customer ID]],customers!$A$1:$A$1001,customers!$I$1:$I$1001,,0)</f>
        <v>Yes</v>
      </c>
    </row>
    <row r="334" spans="1:16" x14ac:dyDescent="0.3">
      <c r="A334" s="2" t="s">
        <v>2363</v>
      </c>
      <c r="B334" s="3">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s="13" t="str">
        <f>_xlfn.XLOOKUP(Orders[[#This Row],[Customer ID]],customers!$A$1:$A$1001,customers!$I$1:$I$1001,,0)</f>
        <v>Yes</v>
      </c>
    </row>
    <row r="335" spans="1:16" x14ac:dyDescent="0.3">
      <c r="A335" s="2" t="s">
        <v>2369</v>
      </c>
      <c r="B335" s="3">
        <v>43712</v>
      </c>
      <c r="C335" s="2" t="s">
        <v>2370</v>
      </c>
      <c r="D335" t="s">
        <v>6146</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s="13" t="str">
        <f>_xlfn.XLOOKUP(Orders[[#This Row],[Customer ID]],customers!$A$1:$A$1001,customers!$I$1:$I$1001,,0)</f>
        <v>Yes</v>
      </c>
    </row>
    <row r="336" spans="1:16" x14ac:dyDescent="0.3">
      <c r="A336" s="2" t="s">
        <v>2375</v>
      </c>
      <c r="B336" s="3">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s="13" t="str">
        <f>_xlfn.XLOOKUP(Orders[[#This Row],[Customer ID]],customers!$A$1:$A$1001,customers!$I$1:$I$1001,,0)</f>
        <v>No</v>
      </c>
    </row>
    <row r="337" spans="1:16" x14ac:dyDescent="0.3">
      <c r="A337" s="2" t="s">
        <v>2379</v>
      </c>
      <c r="B337" s="3">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s="13" t="str">
        <f>_xlfn.XLOOKUP(Orders[[#This Row],[Customer ID]],customers!$A$1:$A$1001,customers!$I$1:$I$1001,,0)</f>
        <v>Yes</v>
      </c>
    </row>
    <row r="338" spans="1:16" x14ac:dyDescent="0.3">
      <c r="A338" s="2" t="s">
        <v>2385</v>
      </c>
      <c r="B338" s="3">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s="13" t="str">
        <f>_xlfn.XLOOKUP(Orders[[#This Row],[Customer ID]],customers!$A$1:$A$1001,customers!$I$1:$I$1001,,0)</f>
        <v>No</v>
      </c>
    </row>
    <row r="339" spans="1:16" x14ac:dyDescent="0.3">
      <c r="A339" s="2" t="s">
        <v>2391</v>
      </c>
      <c r="B339" s="3">
        <v>44472</v>
      </c>
      <c r="C339" s="2" t="s">
        <v>2331</v>
      </c>
      <c r="D339" t="s">
        <v>6185</v>
      </c>
      <c r="E339" s="2">
        <v>2</v>
      </c>
      <c r="F339" s="2" t="str">
        <f>_xlfn.XLOOKUP(orders!C339,customers!$A$1:$A$1001,customers!$B$1:$B$1001,,0)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s="13" t="str">
        <f>_xlfn.XLOOKUP(Orders[[#This Row],[Customer ID]],customers!$A$1:$A$1001,customers!$I$1:$I$1001,,0)</f>
        <v>No</v>
      </c>
    </row>
    <row r="340" spans="1:16" x14ac:dyDescent="0.3">
      <c r="A340" s="2" t="s">
        <v>2396</v>
      </c>
      <c r="B340" s="3">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s="13" t="str">
        <f>_xlfn.XLOOKUP(Orders[[#This Row],[Customer ID]],customers!$A$1:$A$1001,customers!$I$1:$I$1001,,0)</f>
        <v>No</v>
      </c>
    </row>
    <row r="341" spans="1:16" x14ac:dyDescent="0.3">
      <c r="A341" s="2" t="s">
        <v>2402</v>
      </c>
      <c r="B341" s="3">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s="13" t="str">
        <f>_xlfn.XLOOKUP(Orders[[#This Row],[Customer ID]],customers!$A$1:$A$1001,customers!$I$1:$I$1001,,0)</f>
        <v>Yes</v>
      </c>
    </row>
    <row r="342" spans="1:16" x14ac:dyDescent="0.3">
      <c r="A342" s="2" t="s">
        <v>2408</v>
      </c>
      <c r="B342" s="3">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s="13" t="str">
        <f>_xlfn.XLOOKUP(Orders[[#This Row],[Customer ID]],customers!$A$1:$A$1001,customers!$I$1:$I$1001,,0)</f>
        <v>Yes</v>
      </c>
    </row>
    <row r="343" spans="1:16" x14ac:dyDescent="0.3">
      <c r="A343" s="2" t="s">
        <v>2414</v>
      </c>
      <c r="B343" s="3">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s="13" t="str">
        <f>_xlfn.XLOOKUP(Orders[[#This Row],[Customer ID]],customers!$A$1:$A$1001,customers!$I$1:$I$1001,,0)</f>
        <v>No</v>
      </c>
    </row>
    <row r="344" spans="1:16" x14ac:dyDescent="0.3">
      <c r="A344" s="2" t="s">
        <v>2414</v>
      </c>
      <c r="B344" s="3">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s="13" t="str">
        <f>_xlfn.XLOOKUP(Orders[[#This Row],[Customer ID]],customers!$A$1:$A$1001,customers!$I$1:$I$1001,,0)</f>
        <v>No</v>
      </c>
    </row>
    <row r="345" spans="1:16" x14ac:dyDescent="0.3">
      <c r="A345" s="2" t="s">
        <v>2424</v>
      </c>
      <c r="B345" s="3">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s="13" t="str">
        <f>_xlfn.XLOOKUP(Orders[[#This Row],[Customer ID]],customers!$A$1:$A$1001,customers!$I$1:$I$1001,,0)</f>
        <v>No</v>
      </c>
    </row>
    <row r="346" spans="1:16" x14ac:dyDescent="0.3">
      <c r="A346" s="2" t="s">
        <v>2429</v>
      </c>
      <c r="B346" s="3">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s="13" t="str">
        <f>_xlfn.XLOOKUP(Orders[[#This Row],[Customer ID]],customers!$A$1:$A$1001,customers!$I$1:$I$1001,,0)</f>
        <v>Yes</v>
      </c>
    </row>
    <row r="347" spans="1:16" x14ac:dyDescent="0.3">
      <c r="A347" s="2" t="s">
        <v>2434</v>
      </c>
      <c r="B347" s="3">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s="13" t="str">
        <f>_xlfn.XLOOKUP(Orders[[#This Row],[Customer ID]],customers!$A$1:$A$1001,customers!$I$1:$I$1001,,0)</f>
        <v>No</v>
      </c>
    </row>
    <row r="348" spans="1:16" x14ac:dyDescent="0.3">
      <c r="A348" s="2" t="s">
        <v>2440</v>
      </c>
      <c r="B348" s="3">
        <v>44344</v>
      </c>
      <c r="C348" s="2" t="s">
        <v>2441</v>
      </c>
      <c r="D348" t="s">
        <v>6180</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s="13" t="str">
        <f>_xlfn.XLOOKUP(Orders[[#This Row],[Customer ID]],customers!$A$1:$A$1001,customers!$I$1:$I$1001,,0)</f>
        <v>Yes</v>
      </c>
    </row>
    <row r="349" spans="1:16" x14ac:dyDescent="0.3">
      <c r="A349" s="2" t="s">
        <v>2446</v>
      </c>
      <c r="B349" s="3">
        <v>44576</v>
      </c>
      <c r="C349" s="2" t="s">
        <v>2447</v>
      </c>
      <c r="D349" t="s">
        <v>6162</v>
      </c>
      <c r="E349" s="2">
        <v>3</v>
      </c>
      <c r="F349" s="2" t="str">
        <f>_xlfn.XLOOKUP(orders!C349,customers!$A$1:$A$1001,customers!$B$1:$B$1001,,0)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s="13" t="str">
        <f>_xlfn.XLOOKUP(Orders[[#This Row],[Customer ID]],customers!$A$1:$A$1001,customers!$I$1:$I$1001,,0)</f>
        <v>No</v>
      </c>
    </row>
    <row r="350" spans="1:16" x14ac:dyDescent="0.3">
      <c r="A350" s="2" t="s">
        <v>2452</v>
      </c>
      <c r="B350" s="3">
        <v>43803</v>
      </c>
      <c r="C350" s="2" t="s">
        <v>2453</v>
      </c>
      <c r="D350" t="s">
        <v>6148</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s="13" t="str">
        <f>_xlfn.XLOOKUP(Orders[[#This Row],[Customer ID]],customers!$A$1:$A$1001,customers!$I$1:$I$1001,,0)</f>
        <v>No</v>
      </c>
    </row>
    <row r="351" spans="1:16" x14ac:dyDescent="0.3">
      <c r="A351" s="2" t="s">
        <v>2458</v>
      </c>
      <c r="B351" s="3">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s="13" t="str">
        <f>_xlfn.XLOOKUP(Orders[[#This Row],[Customer ID]],customers!$A$1:$A$1001,customers!$I$1:$I$1001,,0)</f>
        <v>No</v>
      </c>
    </row>
    <row r="352" spans="1:16" x14ac:dyDescent="0.3">
      <c r="A352" s="2" t="s">
        <v>2464</v>
      </c>
      <c r="B352" s="3">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s="13" t="str">
        <f>_xlfn.XLOOKUP(Orders[[#This Row],[Customer ID]],customers!$A$1:$A$1001,customers!$I$1:$I$1001,,0)</f>
        <v>No</v>
      </c>
    </row>
    <row r="353" spans="1:16" x14ac:dyDescent="0.3">
      <c r="A353" s="2" t="s">
        <v>2470</v>
      </c>
      <c r="B353" s="3">
        <v>44066</v>
      </c>
      <c r="C353" s="2" t="s">
        <v>2471</v>
      </c>
      <c r="D353" t="s">
        <v>6155</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s="13" t="str">
        <f>_xlfn.XLOOKUP(Orders[[#This Row],[Customer ID]],customers!$A$1:$A$1001,customers!$I$1:$I$1001,,0)</f>
        <v>No</v>
      </c>
    </row>
    <row r="354" spans="1:16" x14ac:dyDescent="0.3">
      <c r="A354" s="2" t="s">
        <v>2476</v>
      </c>
      <c r="B354" s="3">
        <v>43984</v>
      </c>
      <c r="C354" s="2" t="s">
        <v>2331</v>
      </c>
      <c r="D354" t="s">
        <v>6144</v>
      </c>
      <c r="E354" s="2">
        <v>5</v>
      </c>
      <c r="F354" s="2" t="str">
        <f>_xlfn.XLOOKUP(orders!C354,customers!$A$1:$A$1001,customers!$B$1:$B$1001,,0)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s="13" t="str">
        <f>_xlfn.XLOOKUP(Orders[[#This Row],[Customer ID]],customers!$A$1:$A$1001,customers!$I$1:$I$1001,,0)</f>
        <v>No</v>
      </c>
    </row>
    <row r="355" spans="1:16" x14ac:dyDescent="0.3">
      <c r="A355" s="2" t="s">
        <v>2482</v>
      </c>
      <c r="B355" s="3">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s="13" t="str">
        <f>_xlfn.XLOOKUP(Orders[[#This Row],[Customer ID]],customers!$A$1:$A$1001,customers!$I$1:$I$1001,,0)</f>
        <v>Yes</v>
      </c>
    </row>
    <row r="356" spans="1:16" x14ac:dyDescent="0.3">
      <c r="A356" s="2" t="s">
        <v>2487</v>
      </c>
      <c r="B356" s="3">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s="13" t="str">
        <f>_xlfn.XLOOKUP(Orders[[#This Row],[Customer ID]],customers!$A$1:$A$1001,customers!$I$1:$I$1001,,0)</f>
        <v>No</v>
      </c>
    </row>
    <row r="357" spans="1:16" x14ac:dyDescent="0.3">
      <c r="A357" s="2" t="s">
        <v>2492</v>
      </c>
      <c r="B357" s="3">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s="13" t="str">
        <f>_xlfn.XLOOKUP(Orders[[#This Row],[Customer ID]],customers!$A$1:$A$1001,customers!$I$1:$I$1001,,0)</f>
        <v>Yes</v>
      </c>
    </row>
    <row r="358" spans="1:16" x14ac:dyDescent="0.3">
      <c r="A358" s="2" t="s">
        <v>2498</v>
      </c>
      <c r="B358" s="3">
        <v>44631</v>
      </c>
      <c r="C358" s="2" t="s">
        <v>2499</v>
      </c>
      <c r="D358" t="s">
        <v>6143</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s="13" t="str">
        <f>_xlfn.XLOOKUP(Orders[[#This Row],[Customer ID]],customers!$A$1:$A$1001,customers!$I$1:$I$1001,,0)</f>
        <v>Yes</v>
      </c>
    </row>
    <row r="359" spans="1:16" x14ac:dyDescent="0.3">
      <c r="A359" s="2" t="s">
        <v>2504</v>
      </c>
      <c r="B359" s="3">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s="13" t="str">
        <f>_xlfn.XLOOKUP(Orders[[#This Row],[Customer ID]],customers!$A$1:$A$1001,customers!$I$1:$I$1001,,0)</f>
        <v>No</v>
      </c>
    </row>
    <row r="360" spans="1:16" x14ac:dyDescent="0.3">
      <c r="A360" s="2" t="s">
        <v>2509</v>
      </c>
      <c r="B360" s="3">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s="13" t="str">
        <f>_xlfn.XLOOKUP(Orders[[#This Row],[Customer ID]],customers!$A$1:$A$1001,customers!$I$1:$I$1001,,0)</f>
        <v>No</v>
      </c>
    </row>
    <row r="361" spans="1:16" x14ac:dyDescent="0.3">
      <c r="A361" s="2" t="s">
        <v>2515</v>
      </c>
      <c r="B361" s="3">
        <v>43563</v>
      </c>
      <c r="C361" s="2" t="s">
        <v>2516</v>
      </c>
      <c r="D361" t="s">
        <v>6178</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s="13" t="str">
        <f>_xlfn.XLOOKUP(Orders[[#This Row],[Customer ID]],customers!$A$1:$A$1001,customers!$I$1:$I$1001,,0)</f>
        <v>No</v>
      </c>
    </row>
    <row r="362" spans="1:16" x14ac:dyDescent="0.3">
      <c r="A362" s="2" t="s">
        <v>2521</v>
      </c>
      <c r="B362" s="3">
        <v>44058</v>
      </c>
      <c r="C362" s="2" t="s">
        <v>2522</v>
      </c>
      <c r="D362" t="s">
        <v>6149</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s="13" t="str">
        <f>_xlfn.XLOOKUP(Orders[[#This Row],[Customer ID]],customers!$A$1:$A$1001,customers!$I$1:$I$1001,,0)</f>
        <v>No</v>
      </c>
    </row>
    <row r="363" spans="1:16" x14ac:dyDescent="0.3">
      <c r="A363" s="2" t="s">
        <v>2521</v>
      </c>
      <c r="B363" s="3">
        <v>44058</v>
      </c>
      <c r="C363" s="2" t="s">
        <v>2522</v>
      </c>
      <c r="D363" t="s">
        <v>6146</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s="13" t="str">
        <f>_xlfn.XLOOKUP(Orders[[#This Row],[Customer ID]],customers!$A$1:$A$1001,customers!$I$1:$I$1001,,0)</f>
        <v>No</v>
      </c>
    </row>
    <row r="364" spans="1:16" x14ac:dyDescent="0.3">
      <c r="A364" s="2" t="s">
        <v>2532</v>
      </c>
      <c r="B364" s="3">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s="13" t="str">
        <f>_xlfn.XLOOKUP(Orders[[#This Row],[Customer ID]],customers!$A$1:$A$1001,customers!$I$1:$I$1001,,0)</f>
        <v>Yes</v>
      </c>
    </row>
    <row r="365" spans="1:16" x14ac:dyDescent="0.3">
      <c r="A365" s="2" t="s">
        <v>2538</v>
      </c>
      <c r="B365" s="3">
        <v>44282</v>
      </c>
      <c r="C365" s="2" t="s">
        <v>2539</v>
      </c>
      <c r="D365" t="s">
        <v>6162</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s="13" t="str">
        <f>_xlfn.XLOOKUP(Orders[[#This Row],[Customer ID]],customers!$A$1:$A$1001,customers!$I$1:$I$1001,,0)</f>
        <v>No</v>
      </c>
    </row>
    <row r="366" spans="1:16" x14ac:dyDescent="0.3">
      <c r="A366" s="2" t="s">
        <v>2543</v>
      </c>
      <c r="B366" s="3">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s="13" t="str">
        <f>_xlfn.XLOOKUP(Orders[[#This Row],[Customer ID]],customers!$A$1:$A$1001,customers!$I$1:$I$1001,,0)</f>
        <v>Yes</v>
      </c>
    </row>
    <row r="367" spans="1:16" x14ac:dyDescent="0.3">
      <c r="A367" s="2" t="s">
        <v>2549</v>
      </c>
      <c r="B367" s="3">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s="13" t="str">
        <f>_xlfn.XLOOKUP(Orders[[#This Row],[Customer ID]],customers!$A$1:$A$1001,customers!$I$1:$I$1001,,0)</f>
        <v>No</v>
      </c>
    </row>
    <row r="368" spans="1:16" x14ac:dyDescent="0.3">
      <c r="A368" s="2" t="s">
        <v>2554</v>
      </c>
      <c r="B368" s="3">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s="13" t="str">
        <f>_xlfn.XLOOKUP(Orders[[#This Row],[Customer ID]],customers!$A$1:$A$1001,customers!$I$1:$I$1001,,0)</f>
        <v>No</v>
      </c>
    </row>
    <row r="369" spans="1:16" x14ac:dyDescent="0.3">
      <c r="A369" s="2" t="s">
        <v>2559</v>
      </c>
      <c r="B369" s="3">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s="13" t="str">
        <f>_xlfn.XLOOKUP(Orders[[#This Row],[Customer ID]],customers!$A$1:$A$1001,customers!$I$1:$I$1001,,0)</f>
        <v>Yes</v>
      </c>
    </row>
    <row r="370" spans="1:16" x14ac:dyDescent="0.3">
      <c r="A370" s="2" t="s">
        <v>2563</v>
      </c>
      <c r="B370" s="3">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s="13" t="str">
        <f>_xlfn.XLOOKUP(Orders[[#This Row],[Customer ID]],customers!$A$1:$A$1001,customers!$I$1:$I$1001,,0)</f>
        <v>No</v>
      </c>
    </row>
    <row r="371" spans="1:16" x14ac:dyDescent="0.3">
      <c r="A371" s="2" t="s">
        <v>2569</v>
      </c>
      <c r="B371" s="3">
        <v>43500</v>
      </c>
      <c r="C371" s="2" t="s">
        <v>2570</v>
      </c>
      <c r="D371" t="s">
        <v>6176</v>
      </c>
      <c r="E371" s="2">
        <v>1</v>
      </c>
      <c r="F371" s="2" t="str">
        <f>_xlfn.XLOOKUP(orders!C371,customers!$A$1:$A$1001,customers!$B$1:$B$1001,,0)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s="13" t="str">
        <f>_xlfn.XLOOKUP(Orders[[#This Row],[Customer ID]],customers!$A$1:$A$1001,customers!$I$1:$I$1001,,0)</f>
        <v>Yes</v>
      </c>
    </row>
    <row r="372" spans="1:16" x14ac:dyDescent="0.3">
      <c r="A372" s="2" t="s">
        <v>2573</v>
      </c>
      <c r="B372" s="3">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s="13" t="str">
        <f>_xlfn.XLOOKUP(Orders[[#This Row],[Customer ID]],customers!$A$1:$A$1001,customers!$I$1:$I$1001,,0)</f>
        <v>Yes</v>
      </c>
    </row>
    <row r="373" spans="1:16" x14ac:dyDescent="0.3">
      <c r="A373" s="2" t="s">
        <v>2579</v>
      </c>
      <c r="B373" s="3">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s="13" t="str">
        <f>_xlfn.XLOOKUP(Orders[[#This Row],[Customer ID]],customers!$A$1:$A$1001,customers!$I$1:$I$1001,,0)</f>
        <v>Yes</v>
      </c>
    </row>
    <row r="374" spans="1:16" x14ac:dyDescent="0.3">
      <c r="A374" s="2" t="s">
        <v>2585</v>
      </c>
      <c r="B374" s="3">
        <v>44108</v>
      </c>
      <c r="C374" s="2" t="s">
        <v>2586</v>
      </c>
      <c r="D374" t="s">
        <v>6173</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s="13" t="str">
        <f>_xlfn.XLOOKUP(Orders[[#This Row],[Customer ID]],customers!$A$1:$A$1001,customers!$I$1:$I$1001,,0)</f>
        <v>No</v>
      </c>
    </row>
    <row r="375" spans="1:16" x14ac:dyDescent="0.3">
      <c r="A375" s="2" t="s">
        <v>2591</v>
      </c>
      <c r="B375" s="3">
        <v>44742</v>
      </c>
      <c r="C375" s="2" t="s">
        <v>2592</v>
      </c>
      <c r="D375" t="s">
        <v>6158</v>
      </c>
      <c r="E375" s="2">
        <v>3</v>
      </c>
      <c r="F375" s="2" t="str">
        <f>_xlfn.XLOOKUP(orders!C375,customers!$A$1:$A$1001,customers!$B$1:$B$1001,,0)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s="13" t="str">
        <f>_xlfn.XLOOKUP(Orders[[#This Row],[Customer ID]],customers!$A$1:$A$1001,customers!$I$1:$I$1001,,0)</f>
        <v>Yes</v>
      </c>
    </row>
    <row r="376" spans="1:16" x14ac:dyDescent="0.3">
      <c r="A376" s="2" t="s">
        <v>2597</v>
      </c>
      <c r="B376" s="3">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s="13" t="str">
        <f>_xlfn.XLOOKUP(Orders[[#This Row],[Customer ID]],customers!$A$1:$A$1001,customers!$I$1:$I$1001,,0)</f>
        <v>Yes</v>
      </c>
    </row>
    <row r="377" spans="1:16" x14ac:dyDescent="0.3">
      <c r="A377" s="2" t="s">
        <v>2603</v>
      </c>
      <c r="B377" s="3">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s="13" t="str">
        <f>_xlfn.XLOOKUP(Orders[[#This Row],[Customer ID]],customers!$A$1:$A$1001,customers!$I$1:$I$1001,,0)</f>
        <v>Yes</v>
      </c>
    </row>
    <row r="378" spans="1:16" x14ac:dyDescent="0.3">
      <c r="A378" s="2" t="s">
        <v>2609</v>
      </c>
      <c r="B378" s="3">
        <v>44097</v>
      </c>
      <c r="C378" s="2" t="s">
        <v>2610</v>
      </c>
      <c r="D378" t="s">
        <v>6146</v>
      </c>
      <c r="E378" s="2">
        <v>1</v>
      </c>
      <c r="F378" s="2" t="str">
        <f>_xlfn.XLOOKUP(orders!C378,customers!$A$1:$A$1001,customers!$B$1:$B$1001,,0)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s="13" t="str">
        <f>_xlfn.XLOOKUP(Orders[[#This Row],[Customer ID]],customers!$A$1:$A$1001,customers!$I$1:$I$1001,,0)</f>
        <v>Yes</v>
      </c>
    </row>
    <row r="379" spans="1:16" x14ac:dyDescent="0.3">
      <c r="A379" s="2" t="s">
        <v>2615</v>
      </c>
      <c r="B379" s="3">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s="13" t="str">
        <f>_xlfn.XLOOKUP(Orders[[#This Row],[Customer ID]],customers!$A$1:$A$1001,customers!$I$1:$I$1001,,0)</f>
        <v>No</v>
      </c>
    </row>
    <row r="380" spans="1:16" x14ac:dyDescent="0.3">
      <c r="A380" s="2" t="s">
        <v>2621</v>
      </c>
      <c r="B380" s="3">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s="13" t="str">
        <f>_xlfn.XLOOKUP(Orders[[#This Row],[Customer ID]],customers!$A$1:$A$1001,customers!$I$1:$I$1001,,0)</f>
        <v>Yes</v>
      </c>
    </row>
    <row r="381" spans="1:16" x14ac:dyDescent="0.3">
      <c r="A381" s="2" t="s">
        <v>2627</v>
      </c>
      <c r="B381" s="3">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s="13" t="str">
        <f>_xlfn.XLOOKUP(Orders[[#This Row],[Customer ID]],customers!$A$1:$A$1001,customers!$I$1:$I$1001,,0)</f>
        <v>Yes</v>
      </c>
    </row>
    <row r="382" spans="1:16" x14ac:dyDescent="0.3">
      <c r="A382" s="2" t="s">
        <v>2632</v>
      </c>
      <c r="B382" s="3">
        <v>44249</v>
      </c>
      <c r="C382" s="2" t="s">
        <v>2331</v>
      </c>
      <c r="D382" t="s">
        <v>6169</v>
      </c>
      <c r="E382" s="2">
        <v>3</v>
      </c>
      <c r="F382" s="2" t="str">
        <f>_xlfn.XLOOKUP(orders!C382,customers!$A$1:$A$1001,customers!$B$1:$B$1001,,0)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s="13" t="str">
        <f>_xlfn.XLOOKUP(Orders[[#This Row],[Customer ID]],customers!$A$1:$A$1001,customers!$I$1:$I$1001,,0)</f>
        <v>No</v>
      </c>
    </row>
    <row r="383" spans="1:16" x14ac:dyDescent="0.3">
      <c r="A383" s="2" t="s">
        <v>2638</v>
      </c>
      <c r="B383" s="3">
        <v>44646</v>
      </c>
      <c r="C383" s="2" t="s">
        <v>2639</v>
      </c>
      <c r="D383" t="s">
        <v>6154</v>
      </c>
      <c r="E383" s="2">
        <v>5</v>
      </c>
      <c r="F383" s="2" t="str">
        <f>_xlfn.XLOOKUP(orders!C383,customers!$A$1:$A$1001,customers!$B$1:$B$1001,,0)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s="13" t="str">
        <f>_xlfn.XLOOKUP(Orders[[#This Row],[Customer ID]],customers!$A$1:$A$1001,customers!$I$1:$I$1001,,0)</f>
        <v>Yes</v>
      </c>
    </row>
    <row r="384" spans="1:16" x14ac:dyDescent="0.3">
      <c r="A384" s="2" t="s">
        <v>2644</v>
      </c>
      <c r="B384" s="3">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s="13" t="str">
        <f>_xlfn.XLOOKUP(Orders[[#This Row],[Customer ID]],customers!$A$1:$A$1001,customers!$I$1:$I$1001,,0)</f>
        <v>No</v>
      </c>
    </row>
    <row r="385" spans="1:16" x14ac:dyDescent="0.3">
      <c r="A385" s="2" t="s">
        <v>2650</v>
      </c>
      <c r="B385" s="3">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s="13" t="str">
        <f>_xlfn.XLOOKUP(Orders[[#This Row],[Customer ID]],customers!$A$1:$A$1001,customers!$I$1:$I$1001,,0)</f>
        <v>Yes</v>
      </c>
    </row>
    <row r="386" spans="1:16" x14ac:dyDescent="0.3">
      <c r="A386" s="2" t="s">
        <v>2655</v>
      </c>
      <c r="B386" s="3">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s="13" t="str">
        <f>_xlfn.XLOOKUP(Orders[[#This Row],[Customer ID]],customers!$A$1:$A$1001,customers!$I$1:$I$1001,,0)</f>
        <v>No</v>
      </c>
    </row>
    <row r="387" spans="1:16" x14ac:dyDescent="0.3">
      <c r="A387" s="2" t="s">
        <v>2660</v>
      </c>
      <c r="B387" s="3">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s="13" t="str">
        <f>_xlfn.XLOOKUP(Orders[[#This Row],[Customer ID]],customers!$A$1:$A$1001,customers!$I$1:$I$1001,,0)</f>
        <v>Yes</v>
      </c>
    </row>
    <row r="388" spans="1:16" x14ac:dyDescent="0.3">
      <c r="A388" s="2" t="s">
        <v>2666</v>
      </c>
      <c r="B388" s="3">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s="13" t="str">
        <f>_xlfn.XLOOKUP(Orders[[#This Row],[Customer ID]],customers!$A$1:$A$1001,customers!$I$1:$I$1001,,0)</f>
        <v>Yes</v>
      </c>
    </row>
    <row r="389" spans="1:16" x14ac:dyDescent="0.3">
      <c r="A389" s="2" t="s">
        <v>2671</v>
      </c>
      <c r="B389" s="3">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s="13" t="str">
        <f>_xlfn.XLOOKUP(Orders[[#This Row],[Customer ID]],customers!$A$1:$A$1001,customers!$I$1:$I$1001,,0)</f>
        <v>Yes</v>
      </c>
    </row>
    <row r="390" spans="1:16" x14ac:dyDescent="0.3">
      <c r="A390" s="2" t="s">
        <v>2677</v>
      </c>
      <c r="B390" s="3">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s="13" t="str">
        <f>_xlfn.XLOOKUP(Orders[[#This Row],[Customer ID]],customers!$A$1:$A$1001,customers!$I$1:$I$1001,,0)</f>
        <v>Yes</v>
      </c>
    </row>
    <row r="391" spans="1:16" x14ac:dyDescent="0.3">
      <c r="A391" s="2" t="s">
        <v>2683</v>
      </c>
      <c r="B391" s="3">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s="13" t="str">
        <f>_xlfn.XLOOKUP(Orders[[#This Row],[Customer ID]],customers!$A$1:$A$1001,customers!$I$1:$I$1001,,0)</f>
        <v>Yes</v>
      </c>
    </row>
    <row r="392" spans="1:16" x14ac:dyDescent="0.3">
      <c r="A392" s="2" t="s">
        <v>2689</v>
      </c>
      <c r="B392" s="3">
        <v>44245</v>
      </c>
      <c r="C392" s="2" t="s">
        <v>2690</v>
      </c>
      <c r="D392" t="s">
        <v>6144</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s="13" t="str">
        <f>_xlfn.XLOOKUP(Orders[[#This Row],[Customer ID]],customers!$A$1:$A$1001,customers!$I$1:$I$1001,,0)</f>
        <v>Yes</v>
      </c>
    </row>
    <row r="393" spans="1:16" x14ac:dyDescent="0.3">
      <c r="A393" s="2" t="s">
        <v>2694</v>
      </c>
      <c r="B393" s="3">
        <v>44133</v>
      </c>
      <c r="C393" s="2" t="s">
        <v>2695</v>
      </c>
      <c r="D393" t="s">
        <v>6157</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s="13" t="str">
        <f>_xlfn.XLOOKUP(Orders[[#This Row],[Customer ID]],customers!$A$1:$A$1001,customers!$I$1:$I$1001,,0)</f>
        <v>No</v>
      </c>
    </row>
    <row r="394" spans="1:16" x14ac:dyDescent="0.3">
      <c r="A394" s="2" t="s">
        <v>2699</v>
      </c>
      <c r="B394" s="3">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s="13" t="str">
        <f>_xlfn.XLOOKUP(Orders[[#This Row],[Customer ID]],customers!$A$1:$A$1001,customers!$I$1:$I$1001,,0)</f>
        <v>No</v>
      </c>
    </row>
    <row r="395" spans="1:16" x14ac:dyDescent="0.3">
      <c r="A395" s="2" t="s">
        <v>2699</v>
      </c>
      <c r="B395" s="3">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s="13" t="str">
        <f>_xlfn.XLOOKUP(Orders[[#This Row],[Customer ID]],customers!$A$1:$A$1001,customers!$I$1:$I$1001,,0)</f>
        <v>No</v>
      </c>
    </row>
    <row r="396" spans="1:16" x14ac:dyDescent="0.3">
      <c r="A396" s="2" t="s">
        <v>2710</v>
      </c>
      <c r="B396" s="3">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s="13" t="str">
        <f>_xlfn.XLOOKUP(Orders[[#This Row],[Customer ID]],customers!$A$1:$A$1001,customers!$I$1:$I$1001,,0)</f>
        <v>No</v>
      </c>
    </row>
    <row r="397" spans="1:16" x14ac:dyDescent="0.3">
      <c r="A397" s="2" t="s">
        <v>2716</v>
      </c>
      <c r="B397" s="3">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s="13" t="str">
        <f>_xlfn.XLOOKUP(Orders[[#This Row],[Customer ID]],customers!$A$1:$A$1001,customers!$I$1:$I$1001,,0)</f>
        <v>Yes</v>
      </c>
    </row>
    <row r="398" spans="1:16" x14ac:dyDescent="0.3">
      <c r="A398" s="2" t="s">
        <v>2721</v>
      </c>
      <c r="B398" s="3">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s="13" t="str">
        <f>_xlfn.XLOOKUP(Orders[[#This Row],[Customer ID]],customers!$A$1:$A$1001,customers!$I$1:$I$1001,,0)</f>
        <v>No</v>
      </c>
    </row>
    <row r="399" spans="1:16" x14ac:dyDescent="0.3">
      <c r="A399" s="2" t="s">
        <v>2727</v>
      </c>
      <c r="B399" s="3">
        <v>43720</v>
      </c>
      <c r="C399" s="2" t="s">
        <v>2728</v>
      </c>
      <c r="D399" t="s">
        <v>6169</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s="13" t="str">
        <f>_xlfn.XLOOKUP(Orders[[#This Row],[Customer ID]],customers!$A$1:$A$1001,customers!$I$1:$I$1001,,0)</f>
        <v>Yes</v>
      </c>
    </row>
    <row r="400" spans="1:16" x14ac:dyDescent="0.3">
      <c r="A400" s="2" t="s">
        <v>2733</v>
      </c>
      <c r="B400" s="3">
        <v>43677</v>
      </c>
      <c r="C400" s="2" t="s">
        <v>2734</v>
      </c>
      <c r="D400" t="s">
        <v>6154</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s="13" t="str">
        <f>_xlfn.XLOOKUP(Orders[[#This Row],[Customer ID]],customers!$A$1:$A$1001,customers!$I$1:$I$1001,,0)</f>
        <v>Yes</v>
      </c>
    </row>
    <row r="401" spans="1:16" x14ac:dyDescent="0.3">
      <c r="A401" s="2" t="s">
        <v>2739</v>
      </c>
      <c r="B401" s="3">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s="13" t="str">
        <f>_xlfn.XLOOKUP(Orders[[#This Row],[Customer ID]],customers!$A$1:$A$1001,customers!$I$1:$I$1001,,0)</f>
        <v>No</v>
      </c>
    </row>
    <row r="402" spans="1:16" x14ac:dyDescent="0.3">
      <c r="A402" s="2" t="s">
        <v>2745</v>
      </c>
      <c r="B402" s="3">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s="13" t="str">
        <f>_xlfn.XLOOKUP(Orders[[#This Row],[Customer ID]],customers!$A$1:$A$1001,customers!$I$1:$I$1001,,0)</f>
        <v>No</v>
      </c>
    </row>
    <row r="403" spans="1:16" x14ac:dyDescent="0.3">
      <c r="A403" s="2" t="s">
        <v>2751</v>
      </c>
      <c r="B403" s="3">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s="13" t="str">
        <f>_xlfn.XLOOKUP(Orders[[#This Row],[Customer ID]],customers!$A$1:$A$1001,customers!$I$1:$I$1001,,0)</f>
        <v>Yes</v>
      </c>
    </row>
    <row r="404" spans="1:16" x14ac:dyDescent="0.3">
      <c r="A404" s="2" t="s">
        <v>2757</v>
      </c>
      <c r="B404" s="3">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s="13" t="str">
        <f>_xlfn.XLOOKUP(Orders[[#This Row],[Customer ID]],customers!$A$1:$A$1001,customers!$I$1:$I$1001,,0)</f>
        <v>Yes</v>
      </c>
    </row>
    <row r="405" spans="1:16" x14ac:dyDescent="0.3">
      <c r="A405" s="2" t="s">
        <v>2763</v>
      </c>
      <c r="B405" s="3">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s="13" t="str">
        <f>_xlfn.XLOOKUP(Orders[[#This Row],[Customer ID]],customers!$A$1:$A$1001,customers!$I$1:$I$1001,,0)</f>
        <v>No</v>
      </c>
    </row>
    <row r="406" spans="1:16" x14ac:dyDescent="0.3">
      <c r="A406" s="2" t="s">
        <v>2769</v>
      </c>
      <c r="B406" s="3">
        <v>43971</v>
      </c>
      <c r="C406" s="2" t="s">
        <v>2770</v>
      </c>
      <c r="D406" t="s">
        <v>6147</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s="13" t="str">
        <f>_xlfn.XLOOKUP(Orders[[#This Row],[Customer ID]],customers!$A$1:$A$1001,customers!$I$1:$I$1001,,0)</f>
        <v>No</v>
      </c>
    </row>
    <row r="407" spans="1:16" x14ac:dyDescent="0.3">
      <c r="A407" s="2" t="s">
        <v>2775</v>
      </c>
      <c r="B407" s="3">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s="13" t="str">
        <f>_xlfn.XLOOKUP(Orders[[#This Row],[Customer ID]],customers!$A$1:$A$1001,customers!$I$1:$I$1001,,0)</f>
        <v>Yes</v>
      </c>
    </row>
    <row r="408" spans="1:16" x14ac:dyDescent="0.3">
      <c r="A408" s="2" t="s">
        <v>2781</v>
      </c>
      <c r="B408" s="3">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s="13" t="str">
        <f>_xlfn.XLOOKUP(Orders[[#This Row],[Customer ID]],customers!$A$1:$A$1001,customers!$I$1:$I$1001,,0)</f>
        <v>Yes</v>
      </c>
    </row>
    <row r="409" spans="1:16" x14ac:dyDescent="0.3">
      <c r="A409" s="2" t="s">
        <v>2787</v>
      </c>
      <c r="B409" s="3">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s="13" t="str">
        <f>_xlfn.XLOOKUP(Orders[[#This Row],[Customer ID]],customers!$A$1:$A$1001,customers!$I$1:$I$1001,,0)</f>
        <v>No</v>
      </c>
    </row>
    <row r="410" spans="1:16" x14ac:dyDescent="0.3">
      <c r="A410" s="2" t="s">
        <v>2792</v>
      </c>
      <c r="B410" s="3">
        <v>44659</v>
      </c>
      <c r="C410" s="2" t="s">
        <v>2793</v>
      </c>
      <c r="D410" t="s">
        <v>6175</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s="13" t="str">
        <f>_xlfn.XLOOKUP(Orders[[#This Row],[Customer ID]],customers!$A$1:$A$1001,customers!$I$1:$I$1001,,0)</f>
        <v>Yes</v>
      </c>
    </row>
    <row r="411" spans="1:16" x14ac:dyDescent="0.3">
      <c r="A411" s="2" t="s">
        <v>2798</v>
      </c>
      <c r="B411" s="3">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s="13" t="str">
        <f>_xlfn.XLOOKUP(Orders[[#This Row],[Customer ID]],customers!$A$1:$A$1001,customers!$I$1:$I$1001,,0)</f>
        <v>Yes</v>
      </c>
    </row>
    <row r="412" spans="1:16" x14ac:dyDescent="0.3">
      <c r="A412" s="2" t="s">
        <v>2803</v>
      </c>
      <c r="B412" s="3">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s="13" t="str">
        <f>_xlfn.XLOOKUP(Orders[[#This Row],[Customer ID]],customers!$A$1:$A$1001,customers!$I$1:$I$1001,,0)</f>
        <v>No</v>
      </c>
    </row>
    <row r="413" spans="1:16" x14ac:dyDescent="0.3">
      <c r="A413" s="2" t="s">
        <v>2808</v>
      </c>
      <c r="B413" s="3">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s="13" t="str">
        <f>_xlfn.XLOOKUP(Orders[[#This Row],[Customer ID]],customers!$A$1:$A$1001,customers!$I$1:$I$1001,,0)</f>
        <v>Yes</v>
      </c>
    </row>
    <row r="414" spans="1:16" x14ac:dyDescent="0.3">
      <c r="A414" s="2" t="s">
        <v>2813</v>
      </c>
      <c r="B414" s="3">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s="13" t="str">
        <f>_xlfn.XLOOKUP(Orders[[#This Row],[Customer ID]],customers!$A$1:$A$1001,customers!$I$1:$I$1001,,0)</f>
        <v>Yes</v>
      </c>
    </row>
    <row r="415" spans="1:16" x14ac:dyDescent="0.3">
      <c r="A415" s="2" t="s">
        <v>2818</v>
      </c>
      <c r="B415" s="3">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s="13" t="str">
        <f>_xlfn.XLOOKUP(Orders[[#This Row],[Customer ID]],customers!$A$1:$A$1001,customers!$I$1:$I$1001,,0)</f>
        <v>Yes</v>
      </c>
    </row>
    <row r="416" spans="1:16" x14ac:dyDescent="0.3">
      <c r="A416" s="2" t="s">
        <v>2824</v>
      </c>
      <c r="B416" s="3">
        <v>43802</v>
      </c>
      <c r="C416" s="2" t="s">
        <v>2825</v>
      </c>
      <c r="D416" t="s">
        <v>6178</v>
      </c>
      <c r="E416" s="2">
        <v>3</v>
      </c>
      <c r="F416" s="2" t="str">
        <f>_xlfn.XLOOKUP(orders!C416,customers!$A$1:$A$1001,customers!$B$1:$B$1001,,0)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s="13" t="str">
        <f>_xlfn.XLOOKUP(Orders[[#This Row],[Customer ID]],customers!$A$1:$A$1001,customers!$I$1:$I$1001,,0)</f>
        <v>Yes</v>
      </c>
    </row>
    <row r="417" spans="1:16" x14ac:dyDescent="0.3">
      <c r="A417" s="2" t="s">
        <v>2829</v>
      </c>
      <c r="B417" s="3">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s="13" t="str">
        <f>_xlfn.XLOOKUP(Orders[[#This Row],[Customer ID]],customers!$A$1:$A$1001,customers!$I$1:$I$1001,,0)</f>
        <v>No</v>
      </c>
    </row>
    <row r="418" spans="1:16" x14ac:dyDescent="0.3">
      <c r="A418" s="2" t="s">
        <v>2834</v>
      </c>
      <c r="B418" s="3">
        <v>43901</v>
      </c>
      <c r="C418" s="2" t="s">
        <v>2835</v>
      </c>
      <c r="D418" t="s">
        <v>6180</v>
      </c>
      <c r="E418" s="2">
        <v>3</v>
      </c>
      <c r="F418" s="2" t="str">
        <f>_xlfn.XLOOKUP(orders!C418,customers!$A$1:$A$1001,customers!$B$1:$B$1001,,0)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s="13" t="str">
        <f>_xlfn.XLOOKUP(Orders[[#This Row],[Customer ID]],customers!$A$1:$A$1001,customers!$I$1:$I$1001,,0)</f>
        <v>Yes</v>
      </c>
    </row>
    <row r="419" spans="1:16" x14ac:dyDescent="0.3">
      <c r="A419" s="2" t="s">
        <v>2839</v>
      </c>
      <c r="B419" s="3">
        <v>44457</v>
      </c>
      <c r="C419" s="2" t="s">
        <v>2840</v>
      </c>
      <c r="D419" t="s">
        <v>6182</v>
      </c>
      <c r="E419" s="2">
        <v>1</v>
      </c>
      <c r="F419" s="2" t="str">
        <f>_xlfn.XLOOKUP(orders!C419,customers!$A$1:$A$1001,customers!$B$1:$B$1001,,0)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s="13" t="str">
        <f>_xlfn.XLOOKUP(Orders[[#This Row],[Customer ID]],customers!$A$1:$A$1001,customers!$I$1:$I$1001,,0)</f>
        <v>Yes</v>
      </c>
    </row>
    <row r="420" spans="1:16" x14ac:dyDescent="0.3">
      <c r="A420" s="2" t="s">
        <v>2844</v>
      </c>
      <c r="B420" s="3">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s="13" t="str">
        <f>_xlfn.XLOOKUP(Orders[[#This Row],[Customer ID]],customers!$A$1:$A$1001,customers!$I$1:$I$1001,,0)</f>
        <v>Yes</v>
      </c>
    </row>
    <row r="421" spans="1:16" x14ac:dyDescent="0.3">
      <c r="A421" s="2" t="s">
        <v>2849</v>
      </c>
      <c r="B421" s="3">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s="13" t="str">
        <f>_xlfn.XLOOKUP(Orders[[#This Row],[Customer ID]],customers!$A$1:$A$1001,customers!$I$1:$I$1001,,0)</f>
        <v>Yes</v>
      </c>
    </row>
    <row r="422" spans="1:16" x14ac:dyDescent="0.3">
      <c r="A422" s="2" t="s">
        <v>2855</v>
      </c>
      <c r="B422" s="3">
        <v>43866</v>
      </c>
      <c r="C422" s="2" t="s">
        <v>2586</v>
      </c>
      <c r="D422" t="s">
        <v>6169</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s="13" t="str">
        <f>_xlfn.XLOOKUP(Orders[[#This Row],[Customer ID]],customers!$A$1:$A$1001,customers!$I$1:$I$1001,,0)</f>
        <v>No</v>
      </c>
    </row>
    <row r="423" spans="1:16" x14ac:dyDescent="0.3">
      <c r="A423" s="2" t="s">
        <v>2855</v>
      </c>
      <c r="B423" s="3">
        <v>43866</v>
      </c>
      <c r="C423" s="2" t="s">
        <v>2586</v>
      </c>
      <c r="D423" t="s">
        <v>6168</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s="13" t="str">
        <f>_xlfn.XLOOKUP(Orders[[#This Row],[Customer ID]],customers!$A$1:$A$1001,customers!$I$1:$I$1001,,0)</f>
        <v>No</v>
      </c>
    </row>
    <row r="424" spans="1:16" x14ac:dyDescent="0.3">
      <c r="A424" s="2" t="s">
        <v>2866</v>
      </c>
      <c r="B424" s="3">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s="13" t="str">
        <f>_xlfn.XLOOKUP(Orders[[#This Row],[Customer ID]],customers!$A$1:$A$1001,customers!$I$1:$I$1001,,0)</f>
        <v>No</v>
      </c>
    </row>
    <row r="425" spans="1:16" x14ac:dyDescent="0.3">
      <c r="A425" s="2" t="s">
        <v>2871</v>
      </c>
      <c r="B425" s="3">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s="13" t="str">
        <f>_xlfn.XLOOKUP(Orders[[#This Row],[Customer ID]],customers!$A$1:$A$1001,customers!$I$1:$I$1001,,0)</f>
        <v>No</v>
      </c>
    </row>
    <row r="426" spans="1:16" x14ac:dyDescent="0.3">
      <c r="A426" s="2" t="s">
        <v>2876</v>
      </c>
      <c r="B426" s="3">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s="13" t="str">
        <f>_xlfn.XLOOKUP(Orders[[#This Row],[Customer ID]],customers!$A$1:$A$1001,customers!$I$1:$I$1001,,0)</f>
        <v>Yes</v>
      </c>
    </row>
    <row r="427" spans="1:16" x14ac:dyDescent="0.3">
      <c r="A427" s="2" t="s">
        <v>2882</v>
      </c>
      <c r="B427" s="3">
        <v>44428</v>
      </c>
      <c r="C427" s="2" t="s">
        <v>2883</v>
      </c>
      <c r="D427" t="s">
        <v>6177</v>
      </c>
      <c r="E427" s="2">
        <v>2</v>
      </c>
      <c r="F427" s="2" t="str">
        <f>_xlfn.XLOOKUP(orders!C427,customers!$A$1:$A$1001,customers!$B$1:$B$1001,,0)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s="13" t="str">
        <f>_xlfn.XLOOKUP(Orders[[#This Row],[Customer ID]],customers!$A$1:$A$1001,customers!$I$1:$I$1001,,0)</f>
        <v>No</v>
      </c>
    </row>
    <row r="428" spans="1:16" x14ac:dyDescent="0.3">
      <c r="A428" s="2" t="s">
        <v>2888</v>
      </c>
      <c r="B428" s="3">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s="13" t="str">
        <f>_xlfn.XLOOKUP(Orders[[#This Row],[Customer ID]],customers!$A$1:$A$1001,customers!$I$1:$I$1001,,0)</f>
        <v>Yes</v>
      </c>
    </row>
    <row r="429" spans="1:16" x14ac:dyDescent="0.3">
      <c r="A429" s="2" t="s">
        <v>2894</v>
      </c>
      <c r="B429" s="3">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s="13" t="str">
        <f>_xlfn.XLOOKUP(Orders[[#This Row],[Customer ID]],customers!$A$1:$A$1001,customers!$I$1:$I$1001,,0)</f>
        <v>Yes</v>
      </c>
    </row>
    <row r="430" spans="1:16" x14ac:dyDescent="0.3">
      <c r="A430" s="2" t="s">
        <v>2899</v>
      </c>
      <c r="B430" s="3">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s="13" t="str">
        <f>_xlfn.XLOOKUP(Orders[[#This Row],[Customer ID]],customers!$A$1:$A$1001,customers!$I$1:$I$1001,,0)</f>
        <v>No</v>
      </c>
    </row>
    <row r="431" spans="1:16" x14ac:dyDescent="0.3">
      <c r="A431" s="2" t="s">
        <v>2905</v>
      </c>
      <c r="B431" s="3">
        <v>44367</v>
      </c>
      <c r="C431" s="2" t="s">
        <v>2586</v>
      </c>
      <c r="D431" t="s">
        <v>6140</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s="13" t="str">
        <f>_xlfn.XLOOKUP(Orders[[#This Row],[Customer ID]],customers!$A$1:$A$1001,customers!$I$1:$I$1001,,0)</f>
        <v>No</v>
      </c>
    </row>
    <row r="432" spans="1:16" x14ac:dyDescent="0.3">
      <c r="A432" s="2" t="s">
        <v>2911</v>
      </c>
      <c r="B432" s="3">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s="13" t="str">
        <f>_xlfn.XLOOKUP(Orders[[#This Row],[Customer ID]],customers!$A$1:$A$1001,customers!$I$1:$I$1001,,0)</f>
        <v>Yes</v>
      </c>
    </row>
    <row r="433" spans="1:16" x14ac:dyDescent="0.3">
      <c r="A433" s="2" t="s">
        <v>2917</v>
      </c>
      <c r="B433" s="3">
        <v>44291</v>
      </c>
      <c r="C433" s="2" t="s">
        <v>2918</v>
      </c>
      <c r="D433" t="s">
        <v>6185</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s="13" t="str">
        <f>_xlfn.XLOOKUP(Orders[[#This Row],[Customer ID]],customers!$A$1:$A$1001,customers!$I$1:$I$1001,,0)</f>
        <v>Yes</v>
      </c>
    </row>
    <row r="434" spans="1:16" x14ac:dyDescent="0.3">
      <c r="A434" s="2" t="s">
        <v>2923</v>
      </c>
      <c r="B434" s="3">
        <v>43808</v>
      </c>
      <c r="C434" s="2" t="s">
        <v>2924</v>
      </c>
      <c r="D434" t="s">
        <v>6155</v>
      </c>
      <c r="E434" s="2">
        <v>2</v>
      </c>
      <c r="F434" s="2" t="str">
        <f>_xlfn.XLOOKUP(orders!C434,customers!$A$1:$A$1001,customers!$B$1:$B$1001,,0)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s="13" t="str">
        <f>_xlfn.XLOOKUP(Orders[[#This Row],[Customer ID]],customers!$A$1:$A$1001,customers!$I$1:$I$1001,,0)</f>
        <v>No</v>
      </c>
    </row>
    <row r="435" spans="1:16" x14ac:dyDescent="0.3">
      <c r="A435" s="2" t="s">
        <v>2928</v>
      </c>
      <c r="B435" s="3">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s="13" t="str">
        <f>_xlfn.XLOOKUP(Orders[[#This Row],[Customer ID]],customers!$A$1:$A$1001,customers!$I$1:$I$1001,,0)</f>
        <v>Yes</v>
      </c>
    </row>
    <row r="436" spans="1:16" x14ac:dyDescent="0.3">
      <c r="A436" s="2" t="s">
        <v>2934</v>
      </c>
      <c r="B436" s="3">
        <v>43807</v>
      </c>
      <c r="C436" s="2" t="s">
        <v>2935</v>
      </c>
      <c r="D436" t="s">
        <v>6155</v>
      </c>
      <c r="E436" s="2">
        <v>6</v>
      </c>
      <c r="F436" s="2" t="str">
        <f>_xlfn.XLOOKUP(orders!C436,customers!$A$1:$A$1001,customers!$B$1:$B$1001,,0)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s="13" t="str">
        <f>_xlfn.XLOOKUP(Orders[[#This Row],[Customer ID]],customers!$A$1:$A$1001,customers!$I$1:$I$1001,,0)</f>
        <v>No</v>
      </c>
    </row>
    <row r="437" spans="1:16" x14ac:dyDescent="0.3">
      <c r="A437" s="2" t="s">
        <v>2939</v>
      </c>
      <c r="B437" s="3">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s="13" t="str">
        <f>_xlfn.XLOOKUP(Orders[[#This Row],[Customer ID]],customers!$A$1:$A$1001,customers!$I$1:$I$1001,,0)</f>
        <v>No</v>
      </c>
    </row>
    <row r="438" spans="1:16" x14ac:dyDescent="0.3">
      <c r="A438" s="2" t="s">
        <v>2945</v>
      </c>
      <c r="B438" s="3">
        <v>44631</v>
      </c>
      <c r="C438" s="2" t="s">
        <v>2946</v>
      </c>
      <c r="D438" t="s">
        <v>6145</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s="13" t="str">
        <f>_xlfn.XLOOKUP(Orders[[#This Row],[Customer ID]],customers!$A$1:$A$1001,customers!$I$1:$I$1001,,0)</f>
        <v>Yes</v>
      </c>
    </row>
    <row r="439" spans="1:16" x14ac:dyDescent="0.3">
      <c r="A439" s="2" t="s">
        <v>2951</v>
      </c>
      <c r="B439" s="3">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s="13" t="str">
        <f>_xlfn.XLOOKUP(Orders[[#This Row],[Customer ID]],customers!$A$1:$A$1001,customers!$I$1:$I$1001,,0)</f>
        <v>No</v>
      </c>
    </row>
    <row r="440" spans="1:16" x14ac:dyDescent="0.3">
      <c r="A440" s="2" t="s">
        <v>2956</v>
      </c>
      <c r="B440" s="3">
        <v>43483</v>
      </c>
      <c r="C440" s="2" t="s">
        <v>3042</v>
      </c>
      <c r="D440" t="s">
        <v>6169</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s="13" t="str">
        <f>_xlfn.XLOOKUP(Orders[[#This Row],[Customer ID]],customers!$A$1:$A$1001,customers!$I$1:$I$1001,,0)</f>
        <v>No</v>
      </c>
    </row>
    <row r="441" spans="1:16" x14ac:dyDescent="0.3">
      <c r="A441" s="2" t="s">
        <v>2962</v>
      </c>
      <c r="B441" s="3">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s="13" t="str">
        <f>_xlfn.XLOOKUP(Orders[[#This Row],[Customer ID]],customers!$A$1:$A$1001,customers!$I$1:$I$1001,,0)</f>
        <v>No</v>
      </c>
    </row>
    <row r="442" spans="1:16" x14ac:dyDescent="0.3">
      <c r="A442" s="2" t="s">
        <v>2968</v>
      </c>
      <c r="B442" s="3">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s="13" t="str">
        <f>_xlfn.XLOOKUP(Orders[[#This Row],[Customer ID]],customers!$A$1:$A$1001,customers!$I$1:$I$1001,,0)</f>
        <v>Yes</v>
      </c>
    </row>
    <row r="443" spans="1:16" x14ac:dyDescent="0.3">
      <c r="A443" s="2" t="s">
        <v>2974</v>
      </c>
      <c r="B443" s="3">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s="13" t="str">
        <f>_xlfn.XLOOKUP(Orders[[#This Row],[Customer ID]],customers!$A$1:$A$1001,customers!$I$1:$I$1001,,0)</f>
        <v>Yes</v>
      </c>
    </row>
    <row r="444" spans="1:16" x14ac:dyDescent="0.3">
      <c r="A444" s="2" t="s">
        <v>2980</v>
      </c>
      <c r="B444" s="3">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s="13" t="str">
        <f>_xlfn.XLOOKUP(Orders[[#This Row],[Customer ID]],customers!$A$1:$A$1001,customers!$I$1:$I$1001,,0)</f>
        <v>No</v>
      </c>
    </row>
    <row r="445" spans="1:16" x14ac:dyDescent="0.3">
      <c r="A445" s="2" t="s">
        <v>2986</v>
      </c>
      <c r="B445" s="3">
        <v>44250</v>
      </c>
      <c r="C445" s="2" t="s">
        <v>2987</v>
      </c>
      <c r="D445" t="s">
        <v>6184</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s="13" t="str">
        <f>_xlfn.XLOOKUP(Orders[[#This Row],[Customer ID]],customers!$A$1:$A$1001,customers!$I$1:$I$1001,,0)</f>
        <v>Yes</v>
      </c>
    </row>
    <row r="446" spans="1:16" x14ac:dyDescent="0.3">
      <c r="A446" s="2" t="s">
        <v>2992</v>
      </c>
      <c r="B446" s="3">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s="13" t="str">
        <f>_xlfn.XLOOKUP(Orders[[#This Row],[Customer ID]],customers!$A$1:$A$1001,customers!$I$1:$I$1001,,0)</f>
        <v>No</v>
      </c>
    </row>
    <row r="447" spans="1:16" x14ac:dyDescent="0.3">
      <c r="A447" s="2" t="s">
        <v>2999</v>
      </c>
      <c r="B447" s="3">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s="13" t="str">
        <f>_xlfn.XLOOKUP(Orders[[#This Row],[Customer ID]],customers!$A$1:$A$1001,customers!$I$1:$I$1001,,0)</f>
        <v>Yes</v>
      </c>
    </row>
    <row r="448" spans="1:16" x14ac:dyDescent="0.3">
      <c r="A448" s="2" t="s">
        <v>3004</v>
      </c>
      <c r="B448" s="3">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s="13" t="str">
        <f>_xlfn.XLOOKUP(Orders[[#This Row],[Customer ID]],customers!$A$1:$A$1001,customers!$I$1:$I$1001,,0)</f>
        <v>Yes</v>
      </c>
    </row>
    <row r="449" spans="1:16" x14ac:dyDescent="0.3">
      <c r="A449" s="2" t="s">
        <v>3010</v>
      </c>
      <c r="B449" s="3">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s="13" t="str">
        <f>_xlfn.XLOOKUP(Orders[[#This Row],[Customer ID]],customers!$A$1:$A$1001,customers!$I$1:$I$1001,,0)</f>
        <v>No</v>
      </c>
    </row>
    <row r="450" spans="1:16" x14ac:dyDescent="0.3">
      <c r="A450" s="2" t="s">
        <v>3015</v>
      </c>
      <c r="B450" s="3">
        <v>44718</v>
      </c>
      <c r="C450" s="2" t="s">
        <v>3016</v>
      </c>
      <c r="D450" t="s">
        <v>6173</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s="13" t="str">
        <f>_xlfn.XLOOKUP(Orders[[#This Row],[Customer ID]],customers!$A$1:$A$1001,customers!$I$1:$I$1001,,0)</f>
        <v>No</v>
      </c>
    </row>
    <row r="451" spans="1:16" x14ac:dyDescent="0.3">
      <c r="A451" s="2" t="s">
        <v>3021</v>
      </c>
      <c r="B451" s="3">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s="13" t="str">
        <f>_xlfn.XLOOKUP(Orders[[#This Row],[Customer ID]],customers!$A$1:$A$1001,customers!$I$1:$I$1001,,0)</f>
        <v>No</v>
      </c>
    </row>
    <row r="452" spans="1:16" x14ac:dyDescent="0.3">
      <c r="A452" s="2" t="s">
        <v>3027</v>
      </c>
      <c r="B452" s="3">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s="13" t="str">
        <f>_xlfn.XLOOKUP(Orders[[#This Row],[Customer ID]],customers!$A$1:$A$1001,customers!$I$1:$I$1001,,0)</f>
        <v>No</v>
      </c>
    </row>
    <row r="453" spans="1:16" x14ac:dyDescent="0.3">
      <c r="A453" s="2" t="s">
        <v>3035</v>
      </c>
      <c r="B453" s="3">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s="13" t="str">
        <f>_xlfn.XLOOKUP(Orders[[#This Row],[Customer ID]],customers!$A$1:$A$1001,customers!$I$1:$I$1001,,0)</f>
        <v>Yes</v>
      </c>
    </row>
    <row r="454" spans="1:16" x14ac:dyDescent="0.3">
      <c r="A454" s="2" t="s">
        <v>3041</v>
      </c>
      <c r="B454" s="3">
        <v>44524</v>
      </c>
      <c r="C454" s="2" t="s">
        <v>3042</v>
      </c>
      <c r="D454" t="s">
        <v>6167</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s="13" t="str">
        <f>_xlfn.XLOOKUP(Orders[[#This Row],[Customer ID]],customers!$A$1:$A$1001,customers!$I$1:$I$1001,,0)</f>
        <v>No</v>
      </c>
    </row>
    <row r="455" spans="1:16" x14ac:dyDescent="0.3">
      <c r="A455" s="2" t="s">
        <v>3047</v>
      </c>
      <c r="B455" s="3">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s="13" t="str">
        <f>_xlfn.XLOOKUP(Orders[[#This Row],[Customer ID]],customers!$A$1:$A$1001,customers!$I$1:$I$1001,,0)</f>
        <v>No</v>
      </c>
    </row>
    <row r="456" spans="1:16" x14ac:dyDescent="0.3">
      <c r="A456" s="2" t="s">
        <v>3053</v>
      </c>
      <c r="B456" s="3">
        <v>44421</v>
      </c>
      <c r="C456" s="2" t="s">
        <v>3054</v>
      </c>
      <c r="D456" t="s">
        <v>6149</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s="13" t="str">
        <f>_xlfn.XLOOKUP(Orders[[#This Row],[Customer ID]],customers!$A$1:$A$1001,customers!$I$1:$I$1001,,0)</f>
        <v>Yes</v>
      </c>
    </row>
    <row r="457" spans="1:16" x14ac:dyDescent="0.3">
      <c r="A457" s="2" t="s">
        <v>3058</v>
      </c>
      <c r="B457" s="3">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s="13" t="str">
        <f>_xlfn.XLOOKUP(Orders[[#This Row],[Customer ID]],customers!$A$1:$A$1001,customers!$I$1:$I$1001,,0)</f>
        <v>Yes</v>
      </c>
    </row>
    <row r="458" spans="1:16" x14ac:dyDescent="0.3">
      <c r="A458" s="2" t="s">
        <v>3064</v>
      </c>
      <c r="B458" s="3">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s="13" t="str">
        <f>_xlfn.XLOOKUP(Orders[[#This Row],[Customer ID]],customers!$A$1:$A$1001,customers!$I$1:$I$1001,,0)</f>
        <v>No</v>
      </c>
    </row>
    <row r="459" spans="1:16" x14ac:dyDescent="0.3">
      <c r="A459" s="2" t="s">
        <v>3070</v>
      </c>
      <c r="B459" s="3">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s="13" t="str">
        <f>_xlfn.XLOOKUP(Orders[[#This Row],[Customer ID]],customers!$A$1:$A$1001,customers!$I$1:$I$1001,,0)</f>
        <v>No</v>
      </c>
    </row>
    <row r="460" spans="1:16" x14ac:dyDescent="0.3">
      <c r="A460" s="2" t="s">
        <v>3076</v>
      </c>
      <c r="B460" s="3">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s="13" t="str">
        <f>_xlfn.XLOOKUP(Orders[[#This Row],[Customer ID]],customers!$A$1:$A$1001,customers!$I$1:$I$1001,,0)</f>
        <v>No</v>
      </c>
    </row>
    <row r="461" spans="1:16" x14ac:dyDescent="0.3">
      <c r="A461" s="2" t="s">
        <v>3082</v>
      </c>
      <c r="B461" s="3">
        <v>43840</v>
      </c>
      <c r="C461" s="2" t="s">
        <v>3083</v>
      </c>
      <c r="D461" t="s">
        <v>6145</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s="13" t="str">
        <f>_xlfn.XLOOKUP(Orders[[#This Row],[Customer ID]],customers!$A$1:$A$1001,customers!$I$1:$I$1001,,0)</f>
        <v>No</v>
      </c>
    </row>
    <row r="462" spans="1:16" x14ac:dyDescent="0.3">
      <c r="A462" s="2" t="s">
        <v>3088</v>
      </c>
      <c r="B462" s="3">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s="13" t="str">
        <f>_xlfn.XLOOKUP(Orders[[#This Row],[Customer ID]],customers!$A$1:$A$1001,customers!$I$1:$I$1001,,0)</f>
        <v>Yes</v>
      </c>
    </row>
    <row r="463" spans="1:16" x14ac:dyDescent="0.3">
      <c r="A463" s="2" t="s">
        <v>3094</v>
      </c>
      <c r="B463" s="3">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s="13" t="str">
        <f>_xlfn.XLOOKUP(Orders[[#This Row],[Customer ID]],customers!$A$1:$A$1001,customers!$I$1:$I$1001,,0)</f>
        <v>Yes</v>
      </c>
    </row>
    <row r="464" spans="1:16" x14ac:dyDescent="0.3">
      <c r="A464" s="2" t="s">
        <v>3100</v>
      </c>
      <c r="B464" s="3">
        <v>44124</v>
      </c>
      <c r="C464" s="2" t="s">
        <v>3101</v>
      </c>
      <c r="D464" t="s">
        <v>6147</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s="13" t="str">
        <f>_xlfn.XLOOKUP(Orders[[#This Row],[Customer ID]],customers!$A$1:$A$1001,customers!$I$1:$I$1001,,0)</f>
        <v>Yes</v>
      </c>
    </row>
    <row r="465" spans="1:16" x14ac:dyDescent="0.3">
      <c r="A465" s="2" t="s">
        <v>3106</v>
      </c>
      <c r="B465" s="3">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s="13" t="str">
        <f>_xlfn.XLOOKUP(Orders[[#This Row],[Customer ID]],customers!$A$1:$A$1001,customers!$I$1:$I$1001,,0)</f>
        <v>No</v>
      </c>
    </row>
    <row r="466" spans="1:16" x14ac:dyDescent="0.3">
      <c r="A466" s="2" t="s">
        <v>3112</v>
      </c>
      <c r="B466" s="3">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s="13" t="str">
        <f>_xlfn.XLOOKUP(Orders[[#This Row],[Customer ID]],customers!$A$1:$A$1001,customers!$I$1:$I$1001,,0)</f>
        <v>No</v>
      </c>
    </row>
    <row r="467" spans="1:16" x14ac:dyDescent="0.3">
      <c r="A467" s="2" t="s">
        <v>3118</v>
      </c>
      <c r="B467" s="3">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s="13" t="str">
        <f>_xlfn.XLOOKUP(Orders[[#This Row],[Customer ID]],customers!$A$1:$A$1001,customers!$I$1:$I$1001,,0)</f>
        <v>Yes</v>
      </c>
    </row>
    <row r="468" spans="1:16" x14ac:dyDescent="0.3">
      <c r="A468" s="2" t="s">
        <v>3124</v>
      </c>
      <c r="B468" s="3">
        <v>44171</v>
      </c>
      <c r="C468" s="2" t="s">
        <v>3125</v>
      </c>
      <c r="D468" t="s">
        <v>6154</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s="13" t="str">
        <f>_xlfn.XLOOKUP(Orders[[#This Row],[Customer ID]],customers!$A$1:$A$1001,customers!$I$1:$I$1001,,0)</f>
        <v>Yes</v>
      </c>
    </row>
    <row r="469" spans="1:16" x14ac:dyDescent="0.3">
      <c r="A469" s="2" t="s">
        <v>3130</v>
      </c>
      <c r="B469" s="3">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s="13" t="str">
        <f>_xlfn.XLOOKUP(Orders[[#This Row],[Customer ID]],customers!$A$1:$A$1001,customers!$I$1:$I$1001,,0)</f>
        <v>No</v>
      </c>
    </row>
    <row r="470" spans="1:16" x14ac:dyDescent="0.3">
      <c r="A470" s="2" t="s">
        <v>3136</v>
      </c>
      <c r="B470" s="3">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s="13" t="str">
        <f>_xlfn.XLOOKUP(Orders[[#This Row],[Customer ID]],customers!$A$1:$A$1001,customers!$I$1:$I$1001,,0)</f>
        <v>Yes</v>
      </c>
    </row>
    <row r="471" spans="1:16" x14ac:dyDescent="0.3">
      <c r="A471" s="2" t="s">
        <v>3141</v>
      </c>
      <c r="B471" s="3">
        <v>44375</v>
      </c>
      <c r="C471" s="2" t="s">
        <v>3194</v>
      </c>
      <c r="D471" t="s">
        <v>6184</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s="13" t="str">
        <f>_xlfn.XLOOKUP(Orders[[#This Row],[Customer ID]],customers!$A$1:$A$1001,customers!$I$1:$I$1001,,0)</f>
        <v>Yes</v>
      </c>
    </row>
    <row r="472" spans="1:16" x14ac:dyDescent="0.3">
      <c r="A472" s="2" t="s">
        <v>3147</v>
      </c>
      <c r="B472" s="3">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s="13" t="str">
        <f>_xlfn.XLOOKUP(Orders[[#This Row],[Customer ID]],customers!$A$1:$A$1001,customers!$I$1:$I$1001,,0)</f>
        <v>Yes</v>
      </c>
    </row>
    <row r="473" spans="1:16" x14ac:dyDescent="0.3">
      <c r="A473" s="2" t="s">
        <v>3153</v>
      </c>
      <c r="B473" s="3">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s="13" t="str">
        <f>_xlfn.XLOOKUP(Orders[[#This Row],[Customer ID]],customers!$A$1:$A$1001,customers!$I$1:$I$1001,,0)</f>
        <v>Yes</v>
      </c>
    </row>
    <row r="474" spans="1:16" x14ac:dyDescent="0.3">
      <c r="A474" s="2" t="s">
        <v>3158</v>
      </c>
      <c r="B474" s="3">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s="13" t="str">
        <f>_xlfn.XLOOKUP(Orders[[#This Row],[Customer ID]],customers!$A$1:$A$1001,customers!$I$1:$I$1001,,0)</f>
        <v>No</v>
      </c>
    </row>
    <row r="475" spans="1:16" x14ac:dyDescent="0.3">
      <c r="A475" s="2" t="s">
        <v>3164</v>
      </c>
      <c r="B475" s="3">
        <v>44603</v>
      </c>
      <c r="C475" s="2" t="s">
        <v>3165</v>
      </c>
      <c r="D475" t="s">
        <v>6140</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s="13" t="str">
        <f>_xlfn.XLOOKUP(Orders[[#This Row],[Customer ID]],customers!$A$1:$A$1001,customers!$I$1:$I$1001,,0)</f>
        <v>No</v>
      </c>
    </row>
    <row r="476" spans="1:16" x14ac:dyDescent="0.3">
      <c r="A476" s="2" t="s">
        <v>3170</v>
      </c>
      <c r="B476" s="3">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s="13" t="str">
        <f>_xlfn.XLOOKUP(Orders[[#This Row],[Customer ID]],customers!$A$1:$A$1001,customers!$I$1:$I$1001,,0)</f>
        <v>Yes</v>
      </c>
    </row>
    <row r="477" spans="1:16" x14ac:dyDescent="0.3">
      <c r="A477" s="2" t="s">
        <v>3176</v>
      </c>
      <c r="B477" s="3">
        <v>44767</v>
      </c>
      <c r="C477" s="2" t="s">
        <v>3177</v>
      </c>
      <c r="D477" t="s">
        <v>6159</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s="13" t="str">
        <f>_xlfn.XLOOKUP(Orders[[#This Row],[Customer ID]],customers!$A$1:$A$1001,customers!$I$1:$I$1001,,0)</f>
        <v>No</v>
      </c>
    </row>
    <row r="478" spans="1:16" x14ac:dyDescent="0.3">
      <c r="A478" s="2" t="s">
        <v>3181</v>
      </c>
      <c r="B478" s="3">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s="13" t="str">
        <f>_xlfn.XLOOKUP(Orders[[#This Row],[Customer ID]],customers!$A$1:$A$1001,customers!$I$1:$I$1001,,0)</f>
        <v>Yes</v>
      </c>
    </row>
    <row r="479" spans="1:16" x14ac:dyDescent="0.3">
      <c r="A479" s="2" t="s">
        <v>3187</v>
      </c>
      <c r="B479" s="3">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s="13" t="str">
        <f>_xlfn.XLOOKUP(Orders[[#This Row],[Customer ID]],customers!$A$1:$A$1001,customers!$I$1:$I$1001,,0)</f>
        <v>No</v>
      </c>
    </row>
    <row r="480" spans="1:16" x14ac:dyDescent="0.3">
      <c r="A480" s="2" t="s">
        <v>3193</v>
      </c>
      <c r="B480" s="3">
        <v>43624</v>
      </c>
      <c r="C480" s="2" t="s">
        <v>3194</v>
      </c>
      <c r="D480" t="s">
        <v>6177</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s="13" t="str">
        <f>_xlfn.XLOOKUP(Orders[[#This Row],[Customer ID]],customers!$A$1:$A$1001,customers!$I$1:$I$1001,,0)</f>
        <v>Yes</v>
      </c>
    </row>
    <row r="481" spans="1:16" x14ac:dyDescent="0.3">
      <c r="A481" s="2" t="s">
        <v>3193</v>
      </c>
      <c r="B481" s="3">
        <v>43624</v>
      </c>
      <c r="C481" s="2" t="s">
        <v>3194</v>
      </c>
      <c r="D481" t="s">
        <v>6166</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s="13" t="str">
        <f>_xlfn.XLOOKUP(Orders[[#This Row],[Customer ID]],customers!$A$1:$A$1001,customers!$I$1:$I$1001,,0)</f>
        <v>Yes</v>
      </c>
    </row>
    <row r="482" spans="1:16" x14ac:dyDescent="0.3">
      <c r="A482" s="2" t="s">
        <v>3193</v>
      </c>
      <c r="B482" s="3">
        <v>43624</v>
      </c>
      <c r="C482" s="2" t="s">
        <v>3194</v>
      </c>
      <c r="D482" t="s">
        <v>6156</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s="13" t="str">
        <f>_xlfn.XLOOKUP(Orders[[#This Row],[Customer ID]],customers!$A$1:$A$1001,customers!$I$1:$I$1001,,0)</f>
        <v>Yes</v>
      </c>
    </row>
    <row r="483" spans="1:16" x14ac:dyDescent="0.3">
      <c r="A483" s="2" t="s">
        <v>3208</v>
      </c>
      <c r="B483" s="3">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s="13" t="str">
        <f>_xlfn.XLOOKUP(Orders[[#This Row],[Customer ID]],customers!$A$1:$A$1001,customers!$I$1:$I$1001,,0)</f>
        <v>No</v>
      </c>
    </row>
    <row r="484" spans="1:16" x14ac:dyDescent="0.3">
      <c r="A484" s="2" t="s">
        <v>3214</v>
      </c>
      <c r="B484" s="3">
        <v>44247</v>
      </c>
      <c r="C484" s="2" t="s">
        <v>3215</v>
      </c>
      <c r="D484" t="s">
        <v>6185</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s="13" t="str">
        <f>_xlfn.XLOOKUP(Orders[[#This Row],[Customer ID]],customers!$A$1:$A$1001,customers!$I$1:$I$1001,,0)</f>
        <v>Yes</v>
      </c>
    </row>
    <row r="485" spans="1:16" x14ac:dyDescent="0.3">
      <c r="A485" s="2" t="s">
        <v>3220</v>
      </c>
      <c r="B485" s="3">
        <v>43790</v>
      </c>
      <c r="C485" s="2" t="s">
        <v>3221</v>
      </c>
      <c r="D485" t="s">
        <v>6165</v>
      </c>
      <c r="E485" s="2">
        <v>2</v>
      </c>
      <c r="F485" s="2" t="str">
        <f>_xlfn.XLOOKUP(orders!C485,customers!$A$1:$A$1001,customers!$B$1:$B$1001,,0)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s="13" t="str">
        <f>_xlfn.XLOOKUP(Orders[[#This Row],[Customer ID]],customers!$A$1:$A$1001,customers!$I$1:$I$1001,,0)</f>
        <v>Yes</v>
      </c>
    </row>
    <row r="486" spans="1:16" x14ac:dyDescent="0.3">
      <c r="A486" s="2" t="s">
        <v>3225</v>
      </c>
      <c r="B486" s="3">
        <v>44479</v>
      </c>
      <c r="C486" s="2" t="s">
        <v>3226</v>
      </c>
      <c r="D486" t="s">
        <v>6161</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s="13" t="str">
        <f>_xlfn.XLOOKUP(Orders[[#This Row],[Customer ID]],customers!$A$1:$A$1001,customers!$I$1:$I$1001,,0)</f>
        <v>No</v>
      </c>
    </row>
    <row r="487" spans="1:16" x14ac:dyDescent="0.3">
      <c r="A487" s="2" t="s">
        <v>3230</v>
      </c>
      <c r="B487" s="3">
        <v>44413</v>
      </c>
      <c r="C487" s="2" t="s">
        <v>3231</v>
      </c>
      <c r="D487" t="s">
        <v>6178</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s="13" t="str">
        <f>_xlfn.XLOOKUP(Orders[[#This Row],[Customer ID]],customers!$A$1:$A$1001,customers!$I$1:$I$1001,,0)</f>
        <v>Yes</v>
      </c>
    </row>
    <row r="488" spans="1:16" x14ac:dyDescent="0.3">
      <c r="A488" s="2" t="s">
        <v>3236</v>
      </c>
      <c r="B488" s="3">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s="13" t="str">
        <f>_xlfn.XLOOKUP(Orders[[#This Row],[Customer ID]],customers!$A$1:$A$1001,customers!$I$1:$I$1001,,0)</f>
        <v>Yes</v>
      </c>
    </row>
    <row r="489" spans="1:16" x14ac:dyDescent="0.3">
      <c r="A489" s="2" t="s">
        <v>3242</v>
      </c>
      <c r="B489" s="3">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s="13" t="str">
        <f>_xlfn.XLOOKUP(Orders[[#This Row],[Customer ID]],customers!$A$1:$A$1001,customers!$I$1:$I$1001,,0)</f>
        <v>No</v>
      </c>
    </row>
    <row r="490" spans="1:16" x14ac:dyDescent="0.3">
      <c r="A490" s="2" t="s">
        <v>3248</v>
      </c>
      <c r="B490" s="3">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s="13" t="str">
        <f>_xlfn.XLOOKUP(Orders[[#This Row],[Customer ID]],customers!$A$1:$A$1001,customers!$I$1:$I$1001,,0)</f>
        <v>Yes</v>
      </c>
    </row>
    <row r="491" spans="1:16" x14ac:dyDescent="0.3">
      <c r="A491" s="2" t="s">
        <v>3254</v>
      </c>
      <c r="B491" s="3">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s="13" t="str">
        <f>_xlfn.XLOOKUP(Orders[[#This Row],[Customer ID]],customers!$A$1:$A$1001,customers!$I$1:$I$1001,,0)</f>
        <v>No</v>
      </c>
    </row>
    <row r="492" spans="1:16" x14ac:dyDescent="0.3">
      <c r="A492" s="2" t="s">
        <v>3260</v>
      </c>
      <c r="B492" s="3">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s="13" t="str">
        <f>_xlfn.XLOOKUP(Orders[[#This Row],[Customer ID]],customers!$A$1:$A$1001,customers!$I$1:$I$1001,,0)</f>
        <v>No</v>
      </c>
    </row>
    <row r="493" spans="1:16" x14ac:dyDescent="0.3">
      <c r="A493" s="2" t="s">
        <v>3266</v>
      </c>
      <c r="B493" s="3">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s="13" t="str">
        <f>_xlfn.XLOOKUP(Orders[[#This Row],[Customer ID]],customers!$A$1:$A$1001,customers!$I$1:$I$1001,,0)</f>
        <v>No</v>
      </c>
    </row>
    <row r="494" spans="1:16" x14ac:dyDescent="0.3">
      <c r="A494" s="2" t="s">
        <v>3271</v>
      </c>
      <c r="B494" s="3">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s="13" t="str">
        <f>_xlfn.XLOOKUP(Orders[[#This Row],[Customer ID]],customers!$A$1:$A$1001,customers!$I$1:$I$1001,,0)</f>
        <v>Yes</v>
      </c>
    </row>
    <row r="495" spans="1:16" x14ac:dyDescent="0.3">
      <c r="A495" s="2" t="s">
        <v>3277</v>
      </c>
      <c r="B495" s="3">
        <v>44090</v>
      </c>
      <c r="C495" s="2" t="s">
        <v>3278</v>
      </c>
      <c r="D495" t="s">
        <v>6146</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s="13" t="str">
        <f>_xlfn.XLOOKUP(Orders[[#This Row],[Customer ID]],customers!$A$1:$A$1001,customers!$I$1:$I$1001,,0)</f>
        <v>No</v>
      </c>
    </row>
    <row r="496" spans="1:16" x14ac:dyDescent="0.3">
      <c r="A496" s="2" t="s">
        <v>3283</v>
      </c>
      <c r="B496" s="3">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s="13" t="str">
        <f>_xlfn.XLOOKUP(Orders[[#This Row],[Customer ID]],customers!$A$1:$A$1001,customers!$I$1:$I$1001,,0)</f>
        <v>No</v>
      </c>
    </row>
    <row r="497" spans="1:16" x14ac:dyDescent="0.3">
      <c r="A497" s="2" t="s">
        <v>3289</v>
      </c>
      <c r="B497" s="3">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s="13" t="str">
        <f>_xlfn.XLOOKUP(Orders[[#This Row],[Customer ID]],customers!$A$1:$A$1001,customers!$I$1:$I$1001,,0)</f>
        <v>Yes</v>
      </c>
    </row>
    <row r="498" spans="1:16" x14ac:dyDescent="0.3">
      <c r="A498" s="2" t="s">
        <v>3294</v>
      </c>
      <c r="B498" s="3">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s="13" t="str">
        <f>_xlfn.XLOOKUP(Orders[[#This Row],[Customer ID]],customers!$A$1:$A$1001,customers!$I$1:$I$1001,,0)</f>
        <v>No</v>
      </c>
    </row>
    <row r="499" spans="1:16" x14ac:dyDescent="0.3">
      <c r="A499" s="2" t="s">
        <v>3300</v>
      </c>
      <c r="B499" s="3">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s="13" t="str">
        <f>_xlfn.XLOOKUP(Orders[[#This Row],[Customer ID]],customers!$A$1:$A$1001,customers!$I$1:$I$1001,,0)</f>
        <v>No</v>
      </c>
    </row>
    <row r="500" spans="1:16" x14ac:dyDescent="0.3">
      <c r="A500" s="2" t="s">
        <v>3307</v>
      </c>
      <c r="B500" s="3">
        <v>44159</v>
      </c>
      <c r="C500" s="2" t="s">
        <v>3368</v>
      </c>
      <c r="D500" t="s">
        <v>6138</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s="13" t="str">
        <f>_xlfn.XLOOKUP(Orders[[#This Row],[Customer ID]],customers!$A$1:$A$1001,customers!$I$1:$I$1001,,0)</f>
        <v>Yes</v>
      </c>
    </row>
    <row r="501" spans="1:16" x14ac:dyDescent="0.3">
      <c r="A501" s="2" t="s">
        <v>3313</v>
      </c>
      <c r="B501" s="3">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s="13" t="str">
        <f>_xlfn.XLOOKUP(Orders[[#This Row],[Customer ID]],customers!$A$1:$A$1001,customers!$I$1:$I$1001,,0)</f>
        <v>Yes</v>
      </c>
    </row>
    <row r="502" spans="1:16" x14ac:dyDescent="0.3">
      <c r="A502" s="2" t="s">
        <v>3318</v>
      </c>
      <c r="B502" s="3">
        <v>44025</v>
      </c>
      <c r="C502" s="2" t="s">
        <v>3319</v>
      </c>
      <c r="D502" t="s">
        <v>6179</v>
      </c>
      <c r="E502" s="2">
        <v>4</v>
      </c>
      <c r="F502" s="2" t="str">
        <f>_xlfn.XLOOKUP(orders!C502,customers!$A$1:$A$1001,customers!$B$1:$B$1001,,0)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s="13" t="str">
        <f>_xlfn.XLOOKUP(Orders[[#This Row],[Customer ID]],customers!$A$1:$A$1001,customers!$I$1:$I$1001,,0)</f>
        <v>No</v>
      </c>
    </row>
    <row r="503" spans="1:16" x14ac:dyDescent="0.3">
      <c r="A503" s="2" t="s">
        <v>3323</v>
      </c>
      <c r="B503" s="3">
        <v>43467</v>
      </c>
      <c r="C503" s="2" t="s">
        <v>3324</v>
      </c>
      <c r="D503" t="s">
        <v>6174</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s="13" t="str">
        <f>_xlfn.XLOOKUP(Orders[[#This Row],[Customer ID]],customers!$A$1:$A$1001,customers!$I$1:$I$1001,,0)</f>
        <v>No</v>
      </c>
    </row>
    <row r="504" spans="1:16" x14ac:dyDescent="0.3">
      <c r="A504" s="2" t="s">
        <v>3323</v>
      </c>
      <c r="B504" s="3">
        <v>43467</v>
      </c>
      <c r="C504" s="2" t="s">
        <v>3324</v>
      </c>
      <c r="D504" t="s">
        <v>6156</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s="13" t="str">
        <f>_xlfn.XLOOKUP(Orders[[#This Row],[Customer ID]],customers!$A$1:$A$1001,customers!$I$1:$I$1001,,0)</f>
        <v>No</v>
      </c>
    </row>
    <row r="505" spans="1:16" x14ac:dyDescent="0.3">
      <c r="A505" s="2" t="s">
        <v>3323</v>
      </c>
      <c r="B505" s="3">
        <v>43467</v>
      </c>
      <c r="C505" s="2" t="s">
        <v>3324</v>
      </c>
      <c r="D505" t="s">
        <v>6143</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s="13" t="str">
        <f>_xlfn.XLOOKUP(Orders[[#This Row],[Customer ID]],customers!$A$1:$A$1001,customers!$I$1:$I$1001,,0)</f>
        <v>No</v>
      </c>
    </row>
    <row r="506" spans="1:16" x14ac:dyDescent="0.3">
      <c r="A506" s="2" t="s">
        <v>3323</v>
      </c>
      <c r="B506" s="3">
        <v>43467</v>
      </c>
      <c r="C506" s="2" t="s">
        <v>3324</v>
      </c>
      <c r="D506" t="s">
        <v>6145</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s="13" t="str">
        <f>_xlfn.XLOOKUP(Orders[[#This Row],[Customer ID]],customers!$A$1:$A$1001,customers!$I$1:$I$1001,,0)</f>
        <v>No</v>
      </c>
    </row>
    <row r="507" spans="1:16" x14ac:dyDescent="0.3">
      <c r="A507" s="2" t="s">
        <v>3343</v>
      </c>
      <c r="B507" s="3">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s="13" t="str">
        <f>_xlfn.XLOOKUP(Orders[[#This Row],[Customer ID]],customers!$A$1:$A$1001,customers!$I$1:$I$1001,,0)</f>
        <v>No</v>
      </c>
    </row>
    <row r="508" spans="1:16" x14ac:dyDescent="0.3">
      <c r="A508" s="2" t="s">
        <v>3349</v>
      </c>
      <c r="B508" s="3">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s="13" t="str">
        <f>_xlfn.XLOOKUP(Orders[[#This Row],[Customer ID]],customers!$A$1:$A$1001,customers!$I$1:$I$1001,,0)</f>
        <v>Yes</v>
      </c>
    </row>
    <row r="509" spans="1:16" x14ac:dyDescent="0.3">
      <c r="A509" s="2" t="s">
        <v>3355</v>
      </c>
      <c r="B509" s="3">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s="13" t="str">
        <f>_xlfn.XLOOKUP(Orders[[#This Row],[Customer ID]],customers!$A$1:$A$1001,customers!$I$1:$I$1001,,0)</f>
        <v>Yes</v>
      </c>
    </row>
    <row r="510" spans="1:16" x14ac:dyDescent="0.3">
      <c r="A510" s="2" t="s">
        <v>3361</v>
      </c>
      <c r="B510" s="3">
        <v>44210</v>
      </c>
      <c r="C510" s="2" t="s">
        <v>3362</v>
      </c>
      <c r="D510" t="s">
        <v>6169</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s="13" t="str">
        <f>_xlfn.XLOOKUP(Orders[[#This Row],[Customer ID]],customers!$A$1:$A$1001,customers!$I$1:$I$1001,,0)</f>
        <v>No</v>
      </c>
    </row>
    <row r="511" spans="1:16" x14ac:dyDescent="0.3">
      <c r="A511" s="2" t="s">
        <v>3367</v>
      </c>
      <c r="B511" s="3">
        <v>43785</v>
      </c>
      <c r="C511" s="2" t="s">
        <v>3368</v>
      </c>
      <c r="D511" t="s">
        <v>6147</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s="13" t="str">
        <f>_xlfn.XLOOKUP(Orders[[#This Row],[Customer ID]],customers!$A$1:$A$1001,customers!$I$1:$I$1001,,0)</f>
        <v>Yes</v>
      </c>
    </row>
    <row r="512" spans="1:16" x14ac:dyDescent="0.3">
      <c r="A512" s="2" t="s">
        <v>3373</v>
      </c>
      <c r="B512" s="3">
        <v>43803</v>
      </c>
      <c r="C512" s="2" t="s">
        <v>3374</v>
      </c>
      <c r="D512" t="s">
        <v>6178</v>
      </c>
      <c r="E512" s="2">
        <v>3</v>
      </c>
      <c r="F512" s="2" t="str">
        <f>_xlfn.XLOOKUP(orders!C512,customers!$A$1:$A$1001,customers!$B$1:$B$1001,,0)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s="13" t="str">
        <f>_xlfn.XLOOKUP(Orders[[#This Row],[Customer ID]],customers!$A$1:$A$1001,customers!$I$1:$I$1001,,0)</f>
        <v>Yes</v>
      </c>
    </row>
    <row r="513" spans="1:16" x14ac:dyDescent="0.3">
      <c r="A513" s="2" t="s">
        <v>3379</v>
      </c>
      <c r="B513" s="3">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s="13" t="str">
        <f>_xlfn.XLOOKUP(Orders[[#This Row],[Customer ID]],customers!$A$1:$A$1001,customers!$I$1:$I$1001,,0)</f>
        <v>Yes</v>
      </c>
    </row>
    <row r="514" spans="1:16" x14ac:dyDescent="0.3">
      <c r="A514" s="2" t="s">
        <v>3385</v>
      </c>
      <c r="B514" s="3">
        <v>43535</v>
      </c>
      <c r="C514" s="2" t="s">
        <v>3386</v>
      </c>
      <c r="D514" t="s">
        <v>6170</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s="13" t="str">
        <f>_xlfn.XLOOKUP(Orders[[#This Row],[Customer ID]],customers!$A$1:$A$1001,customers!$I$1:$I$1001,,0)</f>
        <v>No</v>
      </c>
    </row>
    <row r="515" spans="1:16" x14ac:dyDescent="0.3">
      <c r="A515" s="2" t="s">
        <v>3391</v>
      </c>
      <c r="B515" s="3">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s="13" t="str">
        <f>_xlfn.XLOOKUP(Orders[[#This Row],[Customer ID]],customers!$A$1:$A$1001,customers!$I$1:$I$1001,,0)</f>
        <v>No</v>
      </c>
    </row>
    <row r="516" spans="1:16" x14ac:dyDescent="0.3">
      <c r="A516" s="2" t="s">
        <v>3396</v>
      </c>
      <c r="B516" s="3">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s="13" t="str">
        <f>_xlfn.XLOOKUP(Orders[[#This Row],[Customer ID]],customers!$A$1:$A$1001,customers!$I$1:$I$1001,,0)</f>
        <v>Yes</v>
      </c>
    </row>
    <row r="517" spans="1:16" x14ac:dyDescent="0.3">
      <c r="A517" s="2" t="s">
        <v>3402</v>
      </c>
      <c r="B517" s="3">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s="13" t="str">
        <f>_xlfn.XLOOKUP(Orders[[#This Row],[Customer ID]],customers!$A$1:$A$1001,customers!$I$1:$I$1001,,0)</f>
        <v>No</v>
      </c>
    </row>
    <row r="518" spans="1:16" x14ac:dyDescent="0.3">
      <c r="A518" s="2" t="s">
        <v>3408</v>
      </c>
      <c r="B518" s="3">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s="13" t="str">
        <f>_xlfn.XLOOKUP(Orders[[#This Row],[Customer ID]],customers!$A$1:$A$1001,customers!$I$1:$I$1001,,0)</f>
        <v>Yes</v>
      </c>
    </row>
    <row r="519" spans="1:16" x14ac:dyDescent="0.3">
      <c r="A519" s="2" t="s">
        <v>3413</v>
      </c>
      <c r="B519" s="3">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s="13" t="str">
        <f>_xlfn.XLOOKUP(Orders[[#This Row],[Customer ID]],customers!$A$1:$A$1001,customers!$I$1:$I$1001,,0)</f>
        <v>No</v>
      </c>
    </row>
    <row r="520" spans="1:16" x14ac:dyDescent="0.3">
      <c r="A520" s="2" t="s">
        <v>3418</v>
      </c>
      <c r="B520" s="3">
        <v>44194</v>
      </c>
      <c r="C520" s="2" t="s">
        <v>3419</v>
      </c>
      <c r="D520" t="s">
        <v>6185</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s="13" t="str">
        <f>_xlfn.XLOOKUP(Orders[[#This Row],[Customer ID]],customers!$A$1:$A$1001,customers!$I$1:$I$1001,,0)</f>
        <v>No</v>
      </c>
    </row>
    <row r="521" spans="1:16" x14ac:dyDescent="0.3">
      <c r="A521" s="2" t="s">
        <v>3424</v>
      </c>
      <c r="B521" s="3">
        <v>44026</v>
      </c>
      <c r="C521" s="2" t="s">
        <v>3368</v>
      </c>
      <c r="D521" t="s">
        <v>6158</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s="13" t="str">
        <f>_xlfn.XLOOKUP(Orders[[#This Row],[Customer ID]],customers!$A$1:$A$1001,customers!$I$1:$I$1001,,0)</f>
        <v>Yes</v>
      </c>
    </row>
    <row r="522" spans="1:16" x14ac:dyDescent="0.3">
      <c r="A522" s="2" t="s">
        <v>3430</v>
      </c>
      <c r="B522" s="3">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s="13" t="str">
        <f>_xlfn.XLOOKUP(Orders[[#This Row],[Customer ID]],customers!$A$1:$A$1001,customers!$I$1:$I$1001,,0)</f>
        <v>No</v>
      </c>
    </row>
    <row r="523" spans="1:16" x14ac:dyDescent="0.3">
      <c r="A523" s="2" t="s">
        <v>3430</v>
      </c>
      <c r="B523" s="3">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s="13" t="str">
        <f>_xlfn.XLOOKUP(Orders[[#This Row],[Customer ID]],customers!$A$1:$A$1001,customers!$I$1:$I$1001,,0)</f>
        <v>No</v>
      </c>
    </row>
    <row r="524" spans="1:16" x14ac:dyDescent="0.3">
      <c r="A524" s="2" t="s">
        <v>3441</v>
      </c>
      <c r="B524" s="3">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s="13" t="str">
        <f>_xlfn.XLOOKUP(Orders[[#This Row],[Customer ID]],customers!$A$1:$A$1001,customers!$I$1:$I$1001,,0)</f>
        <v>No</v>
      </c>
    </row>
    <row r="525" spans="1:16" x14ac:dyDescent="0.3">
      <c r="A525" s="2" t="s">
        <v>3447</v>
      </c>
      <c r="B525" s="3">
        <v>44129</v>
      </c>
      <c r="C525" s="2" t="s">
        <v>3448</v>
      </c>
      <c r="D525" t="s">
        <v>6165</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s="13" t="str">
        <f>_xlfn.XLOOKUP(Orders[[#This Row],[Customer ID]],customers!$A$1:$A$1001,customers!$I$1:$I$1001,,0)</f>
        <v>No</v>
      </c>
    </row>
    <row r="526" spans="1:16" x14ac:dyDescent="0.3">
      <c r="A526" s="2" t="s">
        <v>3453</v>
      </c>
      <c r="B526" s="3">
        <v>44255</v>
      </c>
      <c r="C526" s="2" t="s">
        <v>3454</v>
      </c>
      <c r="D526" t="s">
        <v>6164</v>
      </c>
      <c r="E526" s="2">
        <v>2</v>
      </c>
      <c r="F526" s="2" t="str">
        <f>_xlfn.XLOOKUP(orders!C526,customers!$A$1:$A$1001,customers!$B$1:$B$1001,,0)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s="13" t="str">
        <f>_xlfn.XLOOKUP(Orders[[#This Row],[Customer ID]],customers!$A$1:$A$1001,customers!$I$1:$I$1001,,0)</f>
        <v>No</v>
      </c>
    </row>
    <row r="527" spans="1:16" x14ac:dyDescent="0.3">
      <c r="A527" s="2" t="s">
        <v>3458</v>
      </c>
      <c r="B527" s="3">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s="13" t="str">
        <f>_xlfn.XLOOKUP(Orders[[#This Row],[Customer ID]],customers!$A$1:$A$1001,customers!$I$1:$I$1001,,0)</f>
        <v>Yes</v>
      </c>
    </row>
    <row r="528" spans="1:16" x14ac:dyDescent="0.3">
      <c r="A528" s="2" t="s">
        <v>3463</v>
      </c>
      <c r="B528" s="3">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s="13" t="str">
        <f>_xlfn.XLOOKUP(Orders[[#This Row],[Customer ID]],customers!$A$1:$A$1001,customers!$I$1:$I$1001,,0)</f>
        <v>Yes</v>
      </c>
    </row>
    <row r="529" spans="1:16" x14ac:dyDescent="0.3">
      <c r="A529" s="2" t="s">
        <v>3469</v>
      </c>
      <c r="B529" s="3">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s="13" t="str">
        <f>_xlfn.XLOOKUP(Orders[[#This Row],[Customer ID]],customers!$A$1:$A$1001,customers!$I$1:$I$1001,,0)</f>
        <v>No</v>
      </c>
    </row>
    <row r="530" spans="1:16" x14ac:dyDescent="0.3">
      <c r="A530" s="2" t="s">
        <v>3475</v>
      </c>
      <c r="B530" s="3">
        <v>43926</v>
      </c>
      <c r="C530" s="2" t="s">
        <v>3476</v>
      </c>
      <c r="D530" t="s">
        <v>6176</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s="13" t="str">
        <f>_xlfn.XLOOKUP(Orders[[#This Row],[Customer ID]],customers!$A$1:$A$1001,customers!$I$1:$I$1001,,0)</f>
        <v>No</v>
      </c>
    </row>
    <row r="531" spans="1:16" x14ac:dyDescent="0.3">
      <c r="A531" s="2" t="s">
        <v>3481</v>
      </c>
      <c r="B531" s="3">
        <v>43475</v>
      </c>
      <c r="C531" s="2" t="s">
        <v>3482</v>
      </c>
      <c r="D531" t="s">
        <v>6138</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s="13" t="str">
        <f>_xlfn.XLOOKUP(Orders[[#This Row],[Customer ID]],customers!$A$1:$A$1001,customers!$I$1:$I$1001,,0)</f>
        <v>No</v>
      </c>
    </row>
    <row r="532" spans="1:16" x14ac:dyDescent="0.3">
      <c r="A532" s="2" t="s">
        <v>3487</v>
      </c>
      <c r="B532" s="3">
        <v>44663</v>
      </c>
      <c r="C532" s="2" t="s">
        <v>3488</v>
      </c>
      <c r="D532" t="s">
        <v>6138</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s="13" t="str">
        <f>_xlfn.XLOOKUP(Orders[[#This Row],[Customer ID]],customers!$A$1:$A$1001,customers!$I$1:$I$1001,,0)</f>
        <v>No</v>
      </c>
    </row>
    <row r="533" spans="1:16" x14ac:dyDescent="0.3">
      <c r="A533" s="2" t="s">
        <v>3493</v>
      </c>
      <c r="B533" s="3">
        <v>44591</v>
      </c>
      <c r="C533" s="2" t="s">
        <v>3494</v>
      </c>
      <c r="D533" t="s">
        <v>6177</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s="13" t="str">
        <f>_xlfn.XLOOKUP(Orders[[#This Row],[Customer ID]],customers!$A$1:$A$1001,customers!$I$1:$I$1001,,0)</f>
        <v>No</v>
      </c>
    </row>
    <row r="534" spans="1:16" x14ac:dyDescent="0.3">
      <c r="A534" s="2" t="s">
        <v>3499</v>
      </c>
      <c r="B534" s="3">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s="13" t="str">
        <f>_xlfn.XLOOKUP(Orders[[#This Row],[Customer ID]],customers!$A$1:$A$1001,customers!$I$1:$I$1001,,0)</f>
        <v>Yes</v>
      </c>
    </row>
    <row r="535" spans="1:16" x14ac:dyDescent="0.3">
      <c r="A535" s="2" t="s">
        <v>3505</v>
      </c>
      <c r="B535" s="3">
        <v>44724</v>
      </c>
      <c r="C535" s="2" t="s">
        <v>3506</v>
      </c>
      <c r="D535" t="s">
        <v>6172</v>
      </c>
      <c r="E535" s="2">
        <v>4</v>
      </c>
      <c r="F535" s="2" t="str">
        <f>_xlfn.XLOOKUP(orders!C535,customers!$A$1:$A$1001,customers!$B$1:$B$1001,,0)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s="13" t="str">
        <f>_xlfn.XLOOKUP(Orders[[#This Row],[Customer ID]],customers!$A$1:$A$1001,customers!$I$1:$I$1001,,0)</f>
        <v>No</v>
      </c>
    </row>
    <row r="536" spans="1:16" x14ac:dyDescent="0.3">
      <c r="A536" s="2" t="s">
        <v>3510</v>
      </c>
      <c r="B536" s="3">
        <v>44563</v>
      </c>
      <c r="C536" s="2" t="s">
        <v>3511</v>
      </c>
      <c r="D536" t="s">
        <v>6151</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s="13" t="str">
        <f>_xlfn.XLOOKUP(Orders[[#This Row],[Customer ID]],customers!$A$1:$A$1001,customers!$I$1:$I$1001,,0)</f>
        <v>Yes</v>
      </c>
    </row>
    <row r="537" spans="1:16" x14ac:dyDescent="0.3">
      <c r="A537" s="2" t="s">
        <v>3516</v>
      </c>
      <c r="B537" s="3">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s="13" t="str">
        <f>_xlfn.XLOOKUP(Orders[[#This Row],[Customer ID]],customers!$A$1:$A$1001,customers!$I$1:$I$1001,,0)</f>
        <v>No</v>
      </c>
    </row>
    <row r="538" spans="1:16" x14ac:dyDescent="0.3">
      <c r="A538" s="2" t="s">
        <v>3521</v>
      </c>
      <c r="B538" s="3">
        <v>43544</v>
      </c>
      <c r="C538" s="2" t="s">
        <v>3368</v>
      </c>
      <c r="D538" t="s">
        <v>6163</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s="13" t="str">
        <f>_xlfn.XLOOKUP(Orders[[#This Row],[Customer ID]],customers!$A$1:$A$1001,customers!$I$1:$I$1001,,0)</f>
        <v>Yes</v>
      </c>
    </row>
    <row r="539" spans="1:16" x14ac:dyDescent="0.3">
      <c r="A539" s="2" t="s">
        <v>3527</v>
      </c>
      <c r="B539" s="3">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s="13" t="str">
        <f>_xlfn.XLOOKUP(Orders[[#This Row],[Customer ID]],customers!$A$1:$A$1001,customers!$I$1:$I$1001,,0)</f>
        <v>Yes</v>
      </c>
    </row>
    <row r="540" spans="1:16" x14ac:dyDescent="0.3">
      <c r="A540" s="2" t="s">
        <v>3532</v>
      </c>
      <c r="B540" s="3">
        <v>44482</v>
      </c>
      <c r="C540" s="2" t="s">
        <v>3533</v>
      </c>
      <c r="D540" t="s">
        <v>6163</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s="13" t="str">
        <f>_xlfn.XLOOKUP(Orders[[#This Row],[Customer ID]],customers!$A$1:$A$1001,customers!$I$1:$I$1001,,0)</f>
        <v>Yes</v>
      </c>
    </row>
    <row r="541" spans="1:16" x14ac:dyDescent="0.3">
      <c r="A541" s="2" t="s">
        <v>3537</v>
      </c>
      <c r="B541" s="3">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s="13" t="str">
        <f>_xlfn.XLOOKUP(Orders[[#This Row],[Customer ID]],customers!$A$1:$A$1001,customers!$I$1:$I$1001,,0)</f>
        <v>No</v>
      </c>
    </row>
    <row r="542" spans="1:16" x14ac:dyDescent="0.3">
      <c r="A542" s="2" t="s">
        <v>3542</v>
      </c>
      <c r="B542" s="3">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s="13" t="str">
        <f>_xlfn.XLOOKUP(Orders[[#This Row],[Customer ID]],customers!$A$1:$A$1001,customers!$I$1:$I$1001,,0)</f>
        <v>Yes</v>
      </c>
    </row>
    <row r="543" spans="1:16" x14ac:dyDescent="0.3">
      <c r="A543" s="2" t="s">
        <v>3548</v>
      </c>
      <c r="B543" s="3">
        <v>43750</v>
      </c>
      <c r="C543" s="2" t="s">
        <v>3549</v>
      </c>
      <c r="D543" t="s">
        <v>6168</v>
      </c>
      <c r="E543" s="2">
        <v>1</v>
      </c>
      <c r="F543" s="2" t="str">
        <f>_xlfn.XLOOKUP(orders!C543,customers!$A$1:$A$1001,customers!$B$1:$B$1001,,0)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s="13" t="str">
        <f>_xlfn.XLOOKUP(Orders[[#This Row],[Customer ID]],customers!$A$1:$A$1001,customers!$I$1:$I$1001,,0)</f>
        <v>Yes</v>
      </c>
    </row>
    <row r="544" spans="1:16" x14ac:dyDescent="0.3">
      <c r="A544" s="2" t="s">
        <v>3553</v>
      </c>
      <c r="B544" s="3">
        <v>44335</v>
      </c>
      <c r="C544" s="2" t="s">
        <v>3554</v>
      </c>
      <c r="D544" t="s">
        <v>6175</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s="13" t="str">
        <f>_xlfn.XLOOKUP(Orders[[#This Row],[Customer ID]],customers!$A$1:$A$1001,customers!$I$1:$I$1001,,0)</f>
        <v>No</v>
      </c>
    </row>
    <row r="545" spans="1:16" x14ac:dyDescent="0.3">
      <c r="A545" s="2" t="s">
        <v>3559</v>
      </c>
      <c r="B545" s="3">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s="13" t="str">
        <f>_xlfn.XLOOKUP(Orders[[#This Row],[Customer ID]],customers!$A$1:$A$1001,customers!$I$1:$I$1001,,0)</f>
        <v>No</v>
      </c>
    </row>
    <row r="546" spans="1:16" x14ac:dyDescent="0.3">
      <c r="A546" s="2" t="s">
        <v>3565</v>
      </c>
      <c r="B546" s="3">
        <v>43869</v>
      </c>
      <c r="C546" s="2" t="s">
        <v>3566</v>
      </c>
      <c r="D546" t="s">
        <v>6180</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s="13" t="str">
        <f>_xlfn.XLOOKUP(Orders[[#This Row],[Customer ID]],customers!$A$1:$A$1001,customers!$I$1:$I$1001,,0)</f>
        <v>No</v>
      </c>
    </row>
    <row r="547" spans="1:16" x14ac:dyDescent="0.3">
      <c r="A547" s="2" t="s">
        <v>3571</v>
      </c>
      <c r="B547" s="3">
        <v>44120</v>
      </c>
      <c r="C547" s="2" t="s">
        <v>3572</v>
      </c>
      <c r="D547" t="s">
        <v>6150</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s="13" t="str">
        <f>_xlfn.XLOOKUP(Orders[[#This Row],[Customer ID]],customers!$A$1:$A$1001,customers!$I$1:$I$1001,,0)</f>
        <v>No</v>
      </c>
    </row>
    <row r="548" spans="1:16" x14ac:dyDescent="0.3">
      <c r="A548" s="2" t="s">
        <v>3577</v>
      </c>
      <c r="B548" s="3">
        <v>44127</v>
      </c>
      <c r="C548" s="2" t="s">
        <v>3578</v>
      </c>
      <c r="D548" t="s">
        <v>6185</v>
      </c>
      <c r="E548" s="2">
        <v>3</v>
      </c>
      <c r="F548" s="2" t="str">
        <f>_xlfn.XLOOKUP(orders!C548,customers!$A$1:$A$1001,customers!$B$1:$B$1001,,0)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s="13" t="str">
        <f>_xlfn.XLOOKUP(Orders[[#This Row],[Customer ID]],customers!$A$1:$A$1001,customers!$I$1:$I$1001,,0)</f>
        <v>No</v>
      </c>
    </row>
    <row r="549" spans="1:16" x14ac:dyDescent="0.3">
      <c r="A549" s="2" t="s">
        <v>3582</v>
      </c>
      <c r="B549" s="3">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s="13" t="str">
        <f>_xlfn.XLOOKUP(Orders[[#This Row],[Customer ID]],customers!$A$1:$A$1001,customers!$I$1:$I$1001,,0)</f>
        <v>Yes</v>
      </c>
    </row>
    <row r="550" spans="1:16" x14ac:dyDescent="0.3">
      <c r="A550" s="2" t="s">
        <v>3587</v>
      </c>
      <c r="B550" s="3">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s="13" t="str">
        <f>_xlfn.XLOOKUP(Orders[[#This Row],[Customer ID]],customers!$A$1:$A$1001,customers!$I$1:$I$1001,,0)</f>
        <v>Yes</v>
      </c>
    </row>
    <row r="551" spans="1:16" x14ac:dyDescent="0.3">
      <c r="A551" s="2" t="s">
        <v>3593</v>
      </c>
      <c r="B551" s="3">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s="13" t="str">
        <f>_xlfn.XLOOKUP(Orders[[#This Row],[Customer ID]],customers!$A$1:$A$1001,customers!$I$1:$I$1001,,0)</f>
        <v>Yes</v>
      </c>
    </row>
    <row r="552" spans="1:16" x14ac:dyDescent="0.3">
      <c r="A552" s="2" t="s">
        <v>3599</v>
      </c>
      <c r="B552" s="3">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s="13" t="str">
        <f>_xlfn.XLOOKUP(Orders[[#This Row],[Customer ID]],customers!$A$1:$A$1001,customers!$I$1:$I$1001,,0)</f>
        <v>Yes</v>
      </c>
    </row>
    <row r="553" spans="1:16" x14ac:dyDescent="0.3">
      <c r="A553" s="2" t="s">
        <v>3605</v>
      </c>
      <c r="B553" s="3">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s="13" t="str">
        <f>_xlfn.XLOOKUP(Orders[[#This Row],[Customer ID]],customers!$A$1:$A$1001,customers!$I$1:$I$1001,,0)</f>
        <v>No</v>
      </c>
    </row>
    <row r="554" spans="1:16" x14ac:dyDescent="0.3">
      <c r="A554" s="2" t="s">
        <v>3611</v>
      </c>
      <c r="B554" s="3">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s="13" t="str">
        <f>_xlfn.XLOOKUP(Orders[[#This Row],[Customer ID]],customers!$A$1:$A$1001,customers!$I$1:$I$1001,,0)</f>
        <v>Yes</v>
      </c>
    </row>
    <row r="555" spans="1:16" x14ac:dyDescent="0.3">
      <c r="A555" s="2" t="s">
        <v>3617</v>
      </c>
      <c r="B555" s="3">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s="13" t="str">
        <f>_xlfn.XLOOKUP(Orders[[#This Row],[Customer ID]],customers!$A$1:$A$1001,customers!$I$1:$I$1001,,0)</f>
        <v>No</v>
      </c>
    </row>
    <row r="556" spans="1:16" x14ac:dyDescent="0.3">
      <c r="A556" s="2" t="s">
        <v>3622</v>
      </c>
      <c r="B556" s="3">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s="13" t="str">
        <f>_xlfn.XLOOKUP(Orders[[#This Row],[Customer ID]],customers!$A$1:$A$1001,customers!$I$1:$I$1001,,0)</f>
        <v>Yes</v>
      </c>
    </row>
    <row r="557" spans="1:16" x14ac:dyDescent="0.3">
      <c r="A557" s="2" t="s">
        <v>3627</v>
      </c>
      <c r="B557" s="3">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s="13" t="str">
        <f>_xlfn.XLOOKUP(Orders[[#This Row],[Customer ID]],customers!$A$1:$A$1001,customers!$I$1:$I$1001,,0)</f>
        <v>No</v>
      </c>
    </row>
    <row r="558" spans="1:16" x14ac:dyDescent="0.3">
      <c r="A558" s="2" t="s">
        <v>3633</v>
      </c>
      <c r="B558" s="3">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s="13" t="str">
        <f>_xlfn.XLOOKUP(Orders[[#This Row],[Customer ID]],customers!$A$1:$A$1001,customers!$I$1:$I$1001,,0)</f>
        <v>Yes</v>
      </c>
    </row>
    <row r="559" spans="1:16" x14ac:dyDescent="0.3">
      <c r="A559" s="2" t="s">
        <v>3638</v>
      </c>
      <c r="B559" s="3">
        <v>44506</v>
      </c>
      <c r="C559" s="2" t="s">
        <v>3368</v>
      </c>
      <c r="D559" t="s">
        <v>6171</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s="13" t="str">
        <f>_xlfn.XLOOKUP(Orders[[#This Row],[Customer ID]],customers!$A$1:$A$1001,customers!$I$1:$I$1001,,0)</f>
        <v>Yes</v>
      </c>
    </row>
    <row r="560" spans="1:16" x14ac:dyDescent="0.3">
      <c r="A560" s="2" t="s">
        <v>3643</v>
      </c>
      <c r="B560" s="3">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s="13" t="str">
        <f>_xlfn.XLOOKUP(Orders[[#This Row],[Customer ID]],customers!$A$1:$A$1001,customers!$I$1:$I$1001,,0)</f>
        <v>Yes</v>
      </c>
    </row>
    <row r="561" spans="1:16" x14ac:dyDescent="0.3">
      <c r="A561" s="2" t="s">
        <v>3648</v>
      </c>
      <c r="B561" s="3">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s="13" t="str">
        <f>_xlfn.XLOOKUP(Orders[[#This Row],[Customer ID]],customers!$A$1:$A$1001,customers!$I$1:$I$1001,,0)</f>
        <v>Yes</v>
      </c>
    </row>
    <row r="562" spans="1:16" x14ac:dyDescent="0.3">
      <c r="A562" s="2" t="s">
        <v>3654</v>
      </c>
      <c r="B562" s="3">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s="13" t="str">
        <f>_xlfn.XLOOKUP(Orders[[#This Row],[Customer ID]],customers!$A$1:$A$1001,customers!$I$1:$I$1001,,0)</f>
        <v>Yes</v>
      </c>
    </row>
    <row r="563" spans="1:16" x14ac:dyDescent="0.3">
      <c r="A563" s="2" t="s">
        <v>3659</v>
      </c>
      <c r="B563" s="3">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s="13" t="str">
        <f>_xlfn.XLOOKUP(Orders[[#This Row],[Customer ID]],customers!$A$1:$A$1001,customers!$I$1:$I$1001,,0)</f>
        <v>Yes</v>
      </c>
    </row>
    <row r="564" spans="1:16" x14ac:dyDescent="0.3">
      <c r="A564" s="2" t="s">
        <v>3665</v>
      </c>
      <c r="B564" s="3">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s="13" t="str">
        <f>_xlfn.XLOOKUP(Orders[[#This Row],[Customer ID]],customers!$A$1:$A$1001,customers!$I$1:$I$1001,,0)</f>
        <v>No</v>
      </c>
    </row>
    <row r="565" spans="1:16" x14ac:dyDescent="0.3">
      <c r="A565" s="2" t="s">
        <v>3671</v>
      </c>
      <c r="B565" s="3">
        <v>43991</v>
      </c>
      <c r="C565" s="2" t="s">
        <v>3752</v>
      </c>
      <c r="D565" t="s">
        <v>6141</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s="13" t="str">
        <f>_xlfn.XLOOKUP(Orders[[#This Row],[Customer ID]],customers!$A$1:$A$1001,customers!$I$1:$I$1001,,0)</f>
        <v>No</v>
      </c>
    </row>
    <row r="566" spans="1:16" x14ac:dyDescent="0.3">
      <c r="A566" s="2" t="s">
        <v>3677</v>
      </c>
      <c r="B566" s="3">
        <v>43883</v>
      </c>
      <c r="C566" s="2" t="s">
        <v>3678</v>
      </c>
      <c r="D566" t="s">
        <v>6173</v>
      </c>
      <c r="E566" s="2">
        <v>2</v>
      </c>
      <c r="F566" s="2" t="str">
        <f>_xlfn.XLOOKUP(orders!C566,customers!$A$1:$A$1001,customers!$B$1:$B$1001,,0)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s="13" t="str">
        <f>_xlfn.XLOOKUP(Orders[[#This Row],[Customer ID]],customers!$A$1:$A$1001,customers!$I$1:$I$1001,,0)</f>
        <v>No</v>
      </c>
    </row>
    <row r="567" spans="1:16" x14ac:dyDescent="0.3">
      <c r="A567" s="2" t="s">
        <v>3683</v>
      </c>
      <c r="B567" s="3">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s="13" t="str">
        <f>_xlfn.XLOOKUP(Orders[[#This Row],[Customer ID]],customers!$A$1:$A$1001,customers!$I$1:$I$1001,,0)</f>
        <v>No</v>
      </c>
    </row>
    <row r="568" spans="1:16" x14ac:dyDescent="0.3">
      <c r="A568" s="2" t="s">
        <v>3689</v>
      </c>
      <c r="B568" s="3">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s="13" t="str">
        <f>_xlfn.XLOOKUP(Orders[[#This Row],[Customer ID]],customers!$A$1:$A$1001,customers!$I$1:$I$1001,,0)</f>
        <v>Yes</v>
      </c>
    </row>
    <row r="569" spans="1:16" x14ac:dyDescent="0.3">
      <c r="A569" s="2" t="s">
        <v>3695</v>
      </c>
      <c r="B569" s="3">
        <v>44318</v>
      </c>
      <c r="C569" s="2" t="s">
        <v>3696</v>
      </c>
      <c r="D569" t="s">
        <v>6142</v>
      </c>
      <c r="E569" s="2">
        <v>6</v>
      </c>
      <c r="F569" s="2" t="str">
        <f>_xlfn.XLOOKUP(orders!C569,customers!$A$1:$A$1001,customers!$B$1:$B$1001,,0)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s="13" t="str">
        <f>_xlfn.XLOOKUP(Orders[[#This Row],[Customer ID]],customers!$A$1:$A$1001,customers!$I$1:$I$1001,,0)</f>
        <v>No</v>
      </c>
    </row>
    <row r="570" spans="1:16" x14ac:dyDescent="0.3">
      <c r="A570" s="2" t="s">
        <v>3700</v>
      </c>
      <c r="B570" s="3">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s="13" t="str">
        <f>_xlfn.XLOOKUP(Orders[[#This Row],[Customer ID]],customers!$A$1:$A$1001,customers!$I$1:$I$1001,,0)</f>
        <v>Yes</v>
      </c>
    </row>
    <row r="571" spans="1:16" x14ac:dyDescent="0.3">
      <c r="A571" s="2" t="s">
        <v>3706</v>
      </c>
      <c r="B571" s="3">
        <v>43879</v>
      </c>
      <c r="C571" s="2" t="s">
        <v>3752</v>
      </c>
      <c r="D571" t="s">
        <v>6168</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s="13" t="str">
        <f>_xlfn.XLOOKUP(Orders[[#This Row],[Customer ID]],customers!$A$1:$A$1001,customers!$I$1:$I$1001,,0)</f>
        <v>No</v>
      </c>
    </row>
    <row r="572" spans="1:16" x14ac:dyDescent="0.3">
      <c r="A572" s="2" t="s">
        <v>3712</v>
      </c>
      <c r="B572" s="3">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s="13" t="str">
        <f>_xlfn.XLOOKUP(Orders[[#This Row],[Customer ID]],customers!$A$1:$A$1001,customers!$I$1:$I$1001,,0)</f>
        <v>No</v>
      </c>
    </row>
    <row r="573" spans="1:16" x14ac:dyDescent="0.3">
      <c r="A573" s="2" t="s">
        <v>3718</v>
      </c>
      <c r="B573" s="3">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s="13" t="str">
        <f>_xlfn.XLOOKUP(Orders[[#This Row],[Customer ID]],customers!$A$1:$A$1001,customers!$I$1:$I$1001,,0)</f>
        <v>No</v>
      </c>
    </row>
    <row r="574" spans="1:16" x14ac:dyDescent="0.3">
      <c r="A574" s="2" t="s">
        <v>3724</v>
      </c>
      <c r="B574" s="3">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s="13" t="str">
        <f>_xlfn.XLOOKUP(Orders[[#This Row],[Customer ID]],customers!$A$1:$A$1001,customers!$I$1:$I$1001,,0)</f>
        <v>Yes</v>
      </c>
    </row>
    <row r="575" spans="1:16" x14ac:dyDescent="0.3">
      <c r="A575" s="2" t="s">
        <v>3728</v>
      </c>
      <c r="B575" s="3">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s="13" t="str">
        <f>_xlfn.XLOOKUP(Orders[[#This Row],[Customer ID]],customers!$A$1:$A$1001,customers!$I$1:$I$1001,,0)</f>
        <v>No</v>
      </c>
    </row>
    <row r="576" spans="1:16" x14ac:dyDescent="0.3">
      <c r="A576" s="2" t="s">
        <v>3734</v>
      </c>
      <c r="B576" s="3">
        <v>44697</v>
      </c>
      <c r="C576" s="2" t="s">
        <v>3735</v>
      </c>
      <c r="D576" t="s">
        <v>6178</v>
      </c>
      <c r="E576" s="2">
        <v>6</v>
      </c>
      <c r="F576" s="2" t="str">
        <f>_xlfn.XLOOKUP(orders!C576,customers!$A$1:$A$1001,customers!$B$1:$B$1001,,0)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s="13" t="str">
        <f>_xlfn.XLOOKUP(Orders[[#This Row],[Customer ID]],customers!$A$1:$A$1001,customers!$I$1:$I$1001,,0)</f>
        <v>Yes</v>
      </c>
    </row>
    <row r="577" spans="1:16" x14ac:dyDescent="0.3">
      <c r="A577" s="2" t="s">
        <v>3739</v>
      </c>
      <c r="B577" s="3">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s="13" t="str">
        <f>_xlfn.XLOOKUP(Orders[[#This Row],[Customer ID]],customers!$A$1:$A$1001,customers!$I$1:$I$1001,,0)</f>
        <v>No</v>
      </c>
    </row>
    <row r="578" spans="1:16" x14ac:dyDescent="0.3">
      <c r="A578" s="2" t="s">
        <v>3745</v>
      </c>
      <c r="B578" s="3">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s="13" t="str">
        <f>_xlfn.XLOOKUP(Orders[[#This Row],[Customer ID]],customers!$A$1:$A$1001,customers!$I$1:$I$1001,,0)</f>
        <v>No</v>
      </c>
    </row>
    <row r="579" spans="1:16" x14ac:dyDescent="0.3">
      <c r="A579" s="2" t="s">
        <v>3751</v>
      </c>
      <c r="B579" s="3">
        <v>44410</v>
      </c>
      <c r="C579" s="2" t="s">
        <v>3752</v>
      </c>
      <c r="D579" t="s">
        <v>6162</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s="13" t="str">
        <f>_xlfn.XLOOKUP(Orders[[#This Row],[Customer ID]],customers!$A$1:$A$1001,customers!$I$1:$I$1001,,0)</f>
        <v>No</v>
      </c>
    </row>
    <row r="580" spans="1:16" x14ac:dyDescent="0.3">
      <c r="A580" s="2" t="s">
        <v>3756</v>
      </c>
      <c r="B580" s="3">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s="13" t="str">
        <f>_xlfn.XLOOKUP(Orders[[#This Row],[Customer ID]],customers!$A$1:$A$1001,customers!$I$1:$I$1001,,0)</f>
        <v>No</v>
      </c>
    </row>
    <row r="581" spans="1:16" x14ac:dyDescent="0.3">
      <c r="A581" s="2" t="s">
        <v>3756</v>
      </c>
      <c r="B581" s="3">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s="13" t="str">
        <f>_xlfn.XLOOKUP(Orders[[#This Row],[Customer ID]],customers!$A$1:$A$1001,customers!$I$1:$I$1001,,0)</f>
        <v>No</v>
      </c>
    </row>
    <row r="582" spans="1:16" x14ac:dyDescent="0.3">
      <c r="A582" s="2" t="s">
        <v>3767</v>
      </c>
      <c r="B582" s="3">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s="13" t="str">
        <f>_xlfn.XLOOKUP(Orders[[#This Row],[Customer ID]],customers!$A$1:$A$1001,customers!$I$1:$I$1001,,0)</f>
        <v>Yes</v>
      </c>
    </row>
    <row r="583" spans="1:16" x14ac:dyDescent="0.3">
      <c r="A583" s="2" t="s">
        <v>3773</v>
      </c>
      <c r="B583" s="3">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s="13" t="str">
        <f>_xlfn.XLOOKUP(Orders[[#This Row],[Customer ID]],customers!$A$1:$A$1001,customers!$I$1:$I$1001,,0)</f>
        <v>Yes</v>
      </c>
    </row>
    <row r="584" spans="1:16" x14ac:dyDescent="0.3">
      <c r="A584" s="2" t="s">
        <v>3778</v>
      </c>
      <c r="B584" s="3">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s="13" t="str">
        <f>_xlfn.XLOOKUP(Orders[[#This Row],[Customer ID]],customers!$A$1:$A$1001,customers!$I$1:$I$1001,,0)</f>
        <v>No</v>
      </c>
    </row>
    <row r="585" spans="1:16" x14ac:dyDescent="0.3">
      <c r="A585" s="2" t="s">
        <v>3784</v>
      </c>
      <c r="B585" s="3">
        <v>43538</v>
      </c>
      <c r="C585" s="2" t="s">
        <v>3785</v>
      </c>
      <c r="D585" t="s">
        <v>6178</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s="13" t="str">
        <f>_xlfn.XLOOKUP(Orders[[#This Row],[Customer ID]],customers!$A$1:$A$1001,customers!$I$1:$I$1001,,0)</f>
        <v>Yes</v>
      </c>
    </row>
    <row r="586" spans="1:16" x14ac:dyDescent="0.3">
      <c r="A586" s="2" t="s">
        <v>3790</v>
      </c>
      <c r="B586" s="3">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s="13" t="str">
        <f>_xlfn.XLOOKUP(Orders[[#This Row],[Customer ID]],customers!$A$1:$A$1001,customers!$I$1:$I$1001,,0)</f>
        <v>No</v>
      </c>
    </row>
    <row r="587" spans="1:16" x14ac:dyDescent="0.3">
      <c r="A587" s="2" t="s">
        <v>3796</v>
      </c>
      <c r="B587" s="3">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s="13" t="str">
        <f>_xlfn.XLOOKUP(Orders[[#This Row],[Customer ID]],customers!$A$1:$A$1001,customers!$I$1:$I$1001,,0)</f>
        <v>Yes</v>
      </c>
    </row>
    <row r="588" spans="1:16" x14ac:dyDescent="0.3">
      <c r="A588" s="2" t="s">
        <v>3802</v>
      </c>
      <c r="B588" s="3">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s="13" t="str">
        <f>_xlfn.XLOOKUP(Orders[[#This Row],[Customer ID]],customers!$A$1:$A$1001,customers!$I$1:$I$1001,,0)</f>
        <v>No</v>
      </c>
    </row>
    <row r="589" spans="1:16" x14ac:dyDescent="0.3">
      <c r="A589" s="2" t="s">
        <v>3807</v>
      </c>
      <c r="B589" s="3">
        <v>44267</v>
      </c>
      <c r="C589" s="2" t="s">
        <v>3808</v>
      </c>
      <c r="D589" t="s">
        <v>6169</v>
      </c>
      <c r="E589" s="2">
        <v>1</v>
      </c>
      <c r="F589" s="2" t="str">
        <f>_xlfn.XLOOKUP(orders!C589,customers!$A$1:$A$1001,customers!$B$1:$B$1001,,0)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s="13" t="str">
        <f>_xlfn.XLOOKUP(Orders[[#This Row],[Customer ID]],customers!$A$1:$A$1001,customers!$I$1:$I$1001,,0)</f>
        <v>Yes</v>
      </c>
    </row>
    <row r="590" spans="1:16" x14ac:dyDescent="0.3">
      <c r="A590" s="2" t="s">
        <v>3812</v>
      </c>
      <c r="B590" s="3">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s="13" t="str">
        <f>_xlfn.XLOOKUP(Orders[[#This Row],[Customer ID]],customers!$A$1:$A$1001,customers!$I$1:$I$1001,,0)</f>
        <v>Yes</v>
      </c>
    </row>
    <row r="591" spans="1:16" x14ac:dyDescent="0.3">
      <c r="A591" s="2" t="s">
        <v>3818</v>
      </c>
      <c r="B591" s="3">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s="13" t="str">
        <f>_xlfn.XLOOKUP(Orders[[#This Row],[Customer ID]],customers!$A$1:$A$1001,customers!$I$1:$I$1001,,0)</f>
        <v>No</v>
      </c>
    </row>
    <row r="592" spans="1:16" x14ac:dyDescent="0.3">
      <c r="A592" s="2" t="s">
        <v>3823</v>
      </c>
      <c r="B592" s="3">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s="13" t="str">
        <f>_xlfn.XLOOKUP(Orders[[#This Row],[Customer ID]],customers!$A$1:$A$1001,customers!$I$1:$I$1001,,0)</f>
        <v>Yes</v>
      </c>
    </row>
    <row r="593" spans="1:16" x14ac:dyDescent="0.3">
      <c r="A593" s="2" t="s">
        <v>3829</v>
      </c>
      <c r="B593" s="3">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s="13" t="str">
        <f>_xlfn.XLOOKUP(Orders[[#This Row],[Customer ID]],customers!$A$1:$A$1001,customers!$I$1:$I$1001,,0)</f>
        <v>Yes</v>
      </c>
    </row>
    <row r="594" spans="1:16" x14ac:dyDescent="0.3">
      <c r="A594" s="2" t="s">
        <v>3834</v>
      </c>
      <c r="B594" s="3">
        <v>44437</v>
      </c>
      <c r="C594" s="2" t="s">
        <v>3835</v>
      </c>
      <c r="D594" t="s">
        <v>6175</v>
      </c>
      <c r="E594" s="2">
        <v>2</v>
      </c>
      <c r="F594" s="2" t="str">
        <f>_xlfn.XLOOKUP(orders!C594,customers!$A$1:$A$1001,customers!$B$1:$B$1001,,0)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s="13" t="str">
        <f>_xlfn.XLOOKUP(Orders[[#This Row],[Customer ID]],customers!$A$1:$A$1001,customers!$I$1:$I$1001,,0)</f>
        <v>No</v>
      </c>
    </row>
    <row r="595" spans="1:16" x14ac:dyDescent="0.3">
      <c r="A595" s="2" t="s">
        <v>3839</v>
      </c>
      <c r="B595" s="3">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s="13" t="str">
        <f>_xlfn.XLOOKUP(Orders[[#This Row],[Customer ID]],customers!$A$1:$A$1001,customers!$I$1:$I$1001,,0)</f>
        <v>Yes</v>
      </c>
    </row>
    <row r="596" spans="1:16" x14ac:dyDescent="0.3">
      <c r="A596" s="2" t="s">
        <v>3844</v>
      </c>
      <c r="B596" s="3">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s="13" t="str">
        <f>_xlfn.XLOOKUP(Orders[[#This Row],[Customer ID]],customers!$A$1:$A$1001,customers!$I$1:$I$1001,,0)</f>
        <v>No</v>
      </c>
    </row>
    <row r="597" spans="1:16" x14ac:dyDescent="0.3">
      <c r="A597" s="2" t="s">
        <v>3850</v>
      </c>
      <c r="B597" s="3">
        <v>44527</v>
      </c>
      <c r="C597" s="2" t="s">
        <v>3851</v>
      </c>
      <c r="D597" t="s">
        <v>6171</v>
      </c>
      <c r="E597" s="2">
        <v>1</v>
      </c>
      <c r="F597" s="2" t="str">
        <f>_xlfn.XLOOKUP(orders!C597,customers!$A$1:$A$1001,customers!$B$1:$B$1001,,0)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s="13" t="str">
        <f>_xlfn.XLOOKUP(Orders[[#This Row],[Customer ID]],customers!$A$1:$A$1001,customers!$I$1:$I$1001,,0)</f>
        <v>No</v>
      </c>
    </row>
    <row r="598" spans="1:16" x14ac:dyDescent="0.3">
      <c r="A598" s="2" t="s">
        <v>3854</v>
      </c>
      <c r="B598" s="3">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s="13" t="str">
        <f>_xlfn.XLOOKUP(Orders[[#This Row],[Customer ID]],customers!$A$1:$A$1001,customers!$I$1:$I$1001,,0)</f>
        <v>No</v>
      </c>
    </row>
    <row r="599" spans="1:16" x14ac:dyDescent="0.3">
      <c r="A599" s="2" t="s">
        <v>3860</v>
      </c>
      <c r="B599" s="3">
        <v>44532</v>
      </c>
      <c r="C599" s="2" t="s">
        <v>3861</v>
      </c>
      <c r="D599" t="s">
        <v>6164</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s="13" t="str">
        <f>_xlfn.XLOOKUP(Orders[[#This Row],[Customer ID]],customers!$A$1:$A$1001,customers!$I$1:$I$1001,,0)</f>
        <v>Yes</v>
      </c>
    </row>
    <row r="600" spans="1:16" x14ac:dyDescent="0.3">
      <c r="A600" s="2" t="s">
        <v>3866</v>
      </c>
      <c r="B600" s="3">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s="13" t="str">
        <f>_xlfn.XLOOKUP(Orders[[#This Row],[Customer ID]],customers!$A$1:$A$1001,customers!$I$1:$I$1001,,0)</f>
        <v>Yes</v>
      </c>
    </row>
    <row r="601" spans="1:16" x14ac:dyDescent="0.3">
      <c r="A601" s="2" t="s">
        <v>3872</v>
      </c>
      <c r="B601" s="3">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s="13" t="str">
        <f>_xlfn.XLOOKUP(Orders[[#This Row],[Customer ID]],customers!$A$1:$A$1001,customers!$I$1:$I$1001,,0)</f>
        <v>Yes</v>
      </c>
    </row>
    <row r="602" spans="1:16" x14ac:dyDescent="0.3">
      <c r="A602" s="2" t="s">
        <v>3877</v>
      </c>
      <c r="B602" s="3">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s="13" t="str">
        <f>_xlfn.XLOOKUP(Orders[[#This Row],[Customer ID]],customers!$A$1:$A$1001,customers!$I$1:$I$1001,,0)</f>
        <v>No</v>
      </c>
    </row>
    <row r="603" spans="1:16" x14ac:dyDescent="0.3">
      <c r="A603" s="2" t="s">
        <v>3883</v>
      </c>
      <c r="B603" s="3">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s="13" t="str">
        <f>_xlfn.XLOOKUP(Orders[[#This Row],[Customer ID]],customers!$A$1:$A$1001,customers!$I$1:$I$1001,,0)</f>
        <v>Yes</v>
      </c>
    </row>
    <row r="604" spans="1:16" x14ac:dyDescent="0.3">
      <c r="A604" s="2" t="s">
        <v>3889</v>
      </c>
      <c r="B604" s="3">
        <v>43603</v>
      </c>
      <c r="C604" s="2" t="s">
        <v>3890</v>
      </c>
      <c r="D604" t="s">
        <v>6184</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s="13" t="str">
        <f>_xlfn.XLOOKUP(Orders[[#This Row],[Customer ID]],customers!$A$1:$A$1001,customers!$I$1:$I$1001,,0)</f>
        <v>Yes</v>
      </c>
    </row>
    <row r="605" spans="1:16" x14ac:dyDescent="0.3">
      <c r="A605" s="2" t="s">
        <v>3895</v>
      </c>
      <c r="B605" s="3">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s="13" t="str">
        <f>_xlfn.XLOOKUP(Orders[[#This Row],[Customer ID]],customers!$A$1:$A$1001,customers!$I$1:$I$1001,,0)</f>
        <v>No</v>
      </c>
    </row>
    <row r="606" spans="1:16" x14ac:dyDescent="0.3">
      <c r="A606" s="2" t="s">
        <v>3900</v>
      </c>
      <c r="B606" s="3">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s="13" t="str">
        <f>_xlfn.XLOOKUP(Orders[[#This Row],[Customer ID]],customers!$A$1:$A$1001,customers!$I$1:$I$1001,,0)</f>
        <v>No</v>
      </c>
    </row>
    <row r="607" spans="1:16" x14ac:dyDescent="0.3">
      <c r="A607" s="2" t="s">
        <v>3905</v>
      </c>
      <c r="B607" s="3">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s="13" t="str">
        <f>_xlfn.XLOOKUP(Orders[[#This Row],[Customer ID]],customers!$A$1:$A$1001,customers!$I$1:$I$1001,,0)</f>
        <v>Yes</v>
      </c>
    </row>
    <row r="608" spans="1:16" x14ac:dyDescent="0.3">
      <c r="A608" s="2" t="s">
        <v>3911</v>
      </c>
      <c r="B608" s="3">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s="13" t="str">
        <f>_xlfn.XLOOKUP(Orders[[#This Row],[Customer ID]],customers!$A$1:$A$1001,customers!$I$1:$I$1001,,0)</f>
        <v>Yes</v>
      </c>
    </row>
    <row r="609" spans="1:16" x14ac:dyDescent="0.3">
      <c r="A609" s="2" t="s">
        <v>3917</v>
      </c>
      <c r="B609" s="3">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s="13" t="str">
        <f>_xlfn.XLOOKUP(Orders[[#This Row],[Customer ID]],customers!$A$1:$A$1001,customers!$I$1:$I$1001,,0)</f>
        <v>Yes</v>
      </c>
    </row>
    <row r="610" spans="1:16" x14ac:dyDescent="0.3">
      <c r="A610" s="2" t="s">
        <v>3923</v>
      </c>
      <c r="B610" s="3">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s="13" t="str">
        <f>_xlfn.XLOOKUP(Orders[[#This Row],[Customer ID]],customers!$A$1:$A$1001,customers!$I$1:$I$1001,,0)</f>
        <v>No</v>
      </c>
    </row>
    <row r="611" spans="1:16" x14ac:dyDescent="0.3">
      <c r="A611" s="2" t="s">
        <v>3927</v>
      </c>
      <c r="B611" s="3">
        <v>44147</v>
      </c>
      <c r="C611" s="2" t="s">
        <v>3928</v>
      </c>
      <c r="D611" t="s">
        <v>6159</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s="13" t="str">
        <f>_xlfn.XLOOKUP(Orders[[#This Row],[Customer ID]],customers!$A$1:$A$1001,customers!$I$1:$I$1001,,0)</f>
        <v>Yes</v>
      </c>
    </row>
    <row r="612" spans="1:16" x14ac:dyDescent="0.3">
      <c r="A612" s="2" t="s">
        <v>3933</v>
      </c>
      <c r="B612" s="3">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s="13" t="str">
        <f>_xlfn.XLOOKUP(Orders[[#This Row],[Customer ID]],customers!$A$1:$A$1001,customers!$I$1:$I$1001,,0)</f>
        <v>No</v>
      </c>
    </row>
    <row r="613" spans="1:16" x14ac:dyDescent="0.3">
      <c r="A613" s="2" t="s">
        <v>3939</v>
      </c>
      <c r="B613" s="3">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s="13" t="str">
        <f>_xlfn.XLOOKUP(Orders[[#This Row],[Customer ID]],customers!$A$1:$A$1001,customers!$I$1:$I$1001,,0)</f>
        <v>No</v>
      </c>
    </row>
    <row r="614" spans="1:16" x14ac:dyDescent="0.3">
      <c r="A614" s="2" t="s">
        <v>3945</v>
      </c>
      <c r="B614" s="3">
        <v>43896</v>
      </c>
      <c r="C614" s="2" t="s">
        <v>3946</v>
      </c>
      <c r="D614" t="s">
        <v>6152</v>
      </c>
      <c r="E614" s="2">
        <v>4</v>
      </c>
      <c r="F614" s="2" t="str">
        <f>_xlfn.XLOOKUP(orders!C614,customers!$A$1:$A$1001,customers!$B$1:$B$1001,,0)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s="13" t="str">
        <f>_xlfn.XLOOKUP(Orders[[#This Row],[Customer ID]],customers!$A$1:$A$1001,customers!$I$1:$I$1001,,0)</f>
        <v>No</v>
      </c>
    </row>
    <row r="615" spans="1:16" x14ac:dyDescent="0.3">
      <c r="A615" s="2" t="s">
        <v>3950</v>
      </c>
      <c r="B615" s="3">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s="13" t="str">
        <f>_xlfn.XLOOKUP(Orders[[#This Row],[Customer ID]],customers!$A$1:$A$1001,customers!$I$1:$I$1001,,0)</f>
        <v>No</v>
      </c>
    </row>
    <row r="616" spans="1:16" x14ac:dyDescent="0.3">
      <c r="A616" s="2" t="s">
        <v>3955</v>
      </c>
      <c r="B616" s="3">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s="13" t="str">
        <f>_xlfn.XLOOKUP(Orders[[#This Row],[Customer ID]],customers!$A$1:$A$1001,customers!$I$1:$I$1001,,0)</f>
        <v>Yes</v>
      </c>
    </row>
    <row r="617" spans="1:16" x14ac:dyDescent="0.3">
      <c r="A617" s="2" t="s">
        <v>3960</v>
      </c>
      <c r="B617" s="3">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s="13" t="str">
        <f>_xlfn.XLOOKUP(Orders[[#This Row],[Customer ID]],customers!$A$1:$A$1001,customers!$I$1:$I$1001,,0)</f>
        <v>Yes</v>
      </c>
    </row>
    <row r="618" spans="1:16" x14ac:dyDescent="0.3">
      <c r="A618" s="2" t="s">
        <v>3966</v>
      </c>
      <c r="B618" s="3">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s="13" t="str">
        <f>_xlfn.XLOOKUP(Orders[[#This Row],[Customer ID]],customers!$A$1:$A$1001,customers!$I$1:$I$1001,,0)</f>
        <v>No</v>
      </c>
    </row>
    <row r="619" spans="1:16" x14ac:dyDescent="0.3">
      <c r="A619" s="2" t="s">
        <v>3972</v>
      </c>
      <c r="B619" s="3">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s="13" t="str">
        <f>_xlfn.XLOOKUP(Orders[[#This Row],[Customer ID]],customers!$A$1:$A$1001,customers!$I$1:$I$1001,,0)</f>
        <v>No</v>
      </c>
    </row>
    <row r="620" spans="1:16" x14ac:dyDescent="0.3">
      <c r="A620" s="2" t="s">
        <v>3978</v>
      </c>
      <c r="B620" s="3">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s="13" t="str">
        <f>_xlfn.XLOOKUP(Orders[[#This Row],[Customer ID]],customers!$A$1:$A$1001,customers!$I$1:$I$1001,,0)</f>
        <v>Yes</v>
      </c>
    </row>
    <row r="621" spans="1:16" x14ac:dyDescent="0.3">
      <c r="A621" s="2" t="s">
        <v>3984</v>
      </c>
      <c r="B621" s="3">
        <v>44682</v>
      </c>
      <c r="C621" s="2" t="s">
        <v>3985</v>
      </c>
      <c r="D621" t="s">
        <v>6169</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s="13" t="str">
        <f>_xlfn.XLOOKUP(Orders[[#This Row],[Customer ID]],customers!$A$1:$A$1001,customers!$I$1:$I$1001,,0)</f>
        <v>Yes</v>
      </c>
    </row>
    <row r="622" spans="1:16" x14ac:dyDescent="0.3">
      <c r="A622" s="2" t="s">
        <v>3990</v>
      </c>
      <c r="B622" s="3">
        <v>44217</v>
      </c>
      <c r="C622" s="2" t="s">
        <v>4042</v>
      </c>
      <c r="D622" t="s">
        <v>6152</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s="13" t="str">
        <f>_xlfn.XLOOKUP(Orders[[#This Row],[Customer ID]],customers!$A$1:$A$1001,customers!$I$1:$I$1001,,0)</f>
        <v>No</v>
      </c>
    </row>
    <row r="623" spans="1:16" x14ac:dyDescent="0.3">
      <c r="A623" s="2" t="s">
        <v>3996</v>
      </c>
      <c r="B623" s="3">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s="13" t="str">
        <f>_xlfn.XLOOKUP(Orders[[#This Row],[Customer ID]],customers!$A$1:$A$1001,customers!$I$1:$I$1001,,0)</f>
        <v>No</v>
      </c>
    </row>
    <row r="624" spans="1:16" x14ac:dyDescent="0.3">
      <c r="A624" s="2" t="s">
        <v>4002</v>
      </c>
      <c r="B624" s="3">
        <v>43527</v>
      </c>
      <c r="C624" s="2" t="s">
        <v>4003</v>
      </c>
      <c r="D624" t="s">
        <v>6181</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s="13" t="str">
        <f>_xlfn.XLOOKUP(Orders[[#This Row],[Customer ID]],customers!$A$1:$A$1001,customers!$I$1:$I$1001,,0)</f>
        <v>No</v>
      </c>
    </row>
    <row r="625" spans="1:16" x14ac:dyDescent="0.3">
      <c r="A625" s="2" t="s">
        <v>4007</v>
      </c>
      <c r="B625" s="3">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s="13" t="str">
        <f>_xlfn.XLOOKUP(Orders[[#This Row],[Customer ID]],customers!$A$1:$A$1001,customers!$I$1:$I$1001,,0)</f>
        <v>No</v>
      </c>
    </row>
    <row r="626" spans="1:16" x14ac:dyDescent="0.3">
      <c r="A626" s="2" t="s">
        <v>4012</v>
      </c>
      <c r="B626" s="3">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s="13" t="str">
        <f>_xlfn.XLOOKUP(Orders[[#This Row],[Customer ID]],customers!$A$1:$A$1001,customers!$I$1:$I$1001,,0)</f>
        <v>Yes</v>
      </c>
    </row>
    <row r="627" spans="1:16" x14ac:dyDescent="0.3">
      <c r="A627" s="2" t="s">
        <v>4017</v>
      </c>
      <c r="B627" s="3">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s="13" t="str">
        <f>_xlfn.XLOOKUP(Orders[[#This Row],[Customer ID]],customers!$A$1:$A$1001,customers!$I$1:$I$1001,,0)</f>
        <v>No</v>
      </c>
    </row>
    <row r="628" spans="1:16" x14ac:dyDescent="0.3">
      <c r="A628" s="2" t="s">
        <v>4023</v>
      </c>
      <c r="B628" s="3">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s="13" t="str">
        <f>_xlfn.XLOOKUP(Orders[[#This Row],[Customer ID]],customers!$A$1:$A$1001,customers!$I$1:$I$1001,,0)</f>
        <v>No</v>
      </c>
    </row>
    <row r="629" spans="1:16" x14ac:dyDescent="0.3">
      <c r="A629" s="2" t="s">
        <v>4029</v>
      </c>
      <c r="B629" s="3">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s="13" t="str">
        <f>_xlfn.XLOOKUP(Orders[[#This Row],[Customer ID]],customers!$A$1:$A$1001,customers!$I$1:$I$1001,,0)</f>
        <v>Yes</v>
      </c>
    </row>
    <row r="630" spans="1:16" x14ac:dyDescent="0.3">
      <c r="A630" s="2" t="s">
        <v>4035</v>
      </c>
      <c r="B630" s="3">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s="13" t="str">
        <f>_xlfn.XLOOKUP(Orders[[#This Row],[Customer ID]],customers!$A$1:$A$1001,customers!$I$1:$I$1001,,0)</f>
        <v>Yes</v>
      </c>
    </row>
    <row r="631" spans="1:16" x14ac:dyDescent="0.3">
      <c r="A631" s="2" t="s">
        <v>4035</v>
      </c>
      <c r="B631" s="3">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s="13" t="str">
        <f>_xlfn.XLOOKUP(Orders[[#This Row],[Customer ID]],customers!$A$1:$A$1001,customers!$I$1:$I$1001,,0)</f>
        <v>Yes</v>
      </c>
    </row>
    <row r="632" spans="1:16" x14ac:dyDescent="0.3">
      <c r="A632" s="2" t="s">
        <v>4035</v>
      </c>
      <c r="B632" s="3">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s="13" t="str">
        <f>_xlfn.XLOOKUP(Orders[[#This Row],[Customer ID]],customers!$A$1:$A$1001,customers!$I$1:$I$1001,,0)</f>
        <v>Yes</v>
      </c>
    </row>
    <row r="633" spans="1:16" x14ac:dyDescent="0.3">
      <c r="A633" s="2" t="s">
        <v>4035</v>
      </c>
      <c r="B633" s="3">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s="13" t="str">
        <f>_xlfn.XLOOKUP(Orders[[#This Row],[Customer ID]],customers!$A$1:$A$1001,customers!$I$1:$I$1001,,0)</f>
        <v>Yes</v>
      </c>
    </row>
    <row r="634" spans="1:16" x14ac:dyDescent="0.3">
      <c r="A634" s="2" t="s">
        <v>4056</v>
      </c>
      <c r="B634" s="3">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s="13" t="str">
        <f>_xlfn.XLOOKUP(Orders[[#This Row],[Customer ID]],customers!$A$1:$A$1001,customers!$I$1:$I$1001,,0)</f>
        <v>No</v>
      </c>
    </row>
    <row r="635" spans="1:16" x14ac:dyDescent="0.3">
      <c r="A635" s="2" t="s">
        <v>4062</v>
      </c>
      <c r="B635" s="3">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s="13" t="str">
        <f>_xlfn.XLOOKUP(Orders[[#This Row],[Customer ID]],customers!$A$1:$A$1001,customers!$I$1:$I$1001,,0)</f>
        <v>No</v>
      </c>
    </row>
    <row r="636" spans="1:16" x14ac:dyDescent="0.3">
      <c r="A636" s="2" t="s">
        <v>4068</v>
      </c>
      <c r="B636" s="3">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s="13" t="str">
        <f>_xlfn.XLOOKUP(Orders[[#This Row],[Customer ID]],customers!$A$1:$A$1001,customers!$I$1:$I$1001,,0)</f>
        <v>No</v>
      </c>
    </row>
    <row r="637" spans="1:16" x14ac:dyDescent="0.3">
      <c r="A637" s="2" t="s">
        <v>4074</v>
      </c>
      <c r="B637" s="3">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s="13" t="str">
        <f>_xlfn.XLOOKUP(Orders[[#This Row],[Customer ID]],customers!$A$1:$A$1001,customers!$I$1:$I$1001,,0)</f>
        <v>Yes</v>
      </c>
    </row>
    <row r="638" spans="1:16" x14ac:dyDescent="0.3">
      <c r="A638" s="2" t="s">
        <v>4080</v>
      </c>
      <c r="B638" s="3">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s="13" t="str">
        <f>_xlfn.XLOOKUP(Orders[[#This Row],[Customer ID]],customers!$A$1:$A$1001,customers!$I$1:$I$1001,,0)</f>
        <v>Yes</v>
      </c>
    </row>
    <row r="639" spans="1:16" x14ac:dyDescent="0.3">
      <c r="A639" s="2" t="s">
        <v>4086</v>
      </c>
      <c r="B639" s="3">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s="13" t="str">
        <f>_xlfn.XLOOKUP(Orders[[#This Row],[Customer ID]],customers!$A$1:$A$1001,customers!$I$1:$I$1001,,0)</f>
        <v>Yes</v>
      </c>
    </row>
    <row r="640" spans="1:16" x14ac:dyDescent="0.3">
      <c r="A640" s="2" t="s">
        <v>4093</v>
      </c>
      <c r="B640" s="3">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s="13" t="str">
        <f>_xlfn.XLOOKUP(Orders[[#This Row],[Customer ID]],customers!$A$1:$A$1001,customers!$I$1:$I$1001,,0)</f>
        <v>Yes</v>
      </c>
    </row>
    <row r="641" spans="1:16" x14ac:dyDescent="0.3">
      <c r="A641" s="2" t="s">
        <v>4098</v>
      </c>
      <c r="B641" s="3">
        <v>44331</v>
      </c>
      <c r="C641" s="2" t="s">
        <v>4099</v>
      </c>
      <c r="D641" t="s">
        <v>6150</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s="13" t="str">
        <f>_xlfn.XLOOKUP(Orders[[#This Row],[Customer ID]],customers!$A$1:$A$1001,customers!$I$1:$I$1001,,0)</f>
        <v>Yes</v>
      </c>
    </row>
    <row r="642" spans="1:16" x14ac:dyDescent="0.3">
      <c r="A642" s="2" t="s">
        <v>4104</v>
      </c>
      <c r="B642" s="3">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s="13" t="str">
        <f>_xlfn.XLOOKUP(Orders[[#This Row],[Customer ID]],customers!$A$1:$A$1001,customers!$I$1:$I$1001,,0)</f>
        <v>No</v>
      </c>
    </row>
    <row r="643" spans="1:16" x14ac:dyDescent="0.3">
      <c r="A643" s="2" t="s">
        <v>4109</v>
      </c>
      <c r="B643" s="3">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s="13" t="str">
        <f>_xlfn.XLOOKUP(Orders[[#This Row],[Customer ID]],customers!$A$1:$A$1001,customers!$I$1:$I$1001,,0)</f>
        <v>Yes</v>
      </c>
    </row>
    <row r="644" spans="1:16" x14ac:dyDescent="0.3">
      <c r="A644" s="2" t="s">
        <v>4115</v>
      </c>
      <c r="B644" s="3">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s="13" t="str">
        <f>_xlfn.XLOOKUP(Orders[[#This Row],[Customer ID]],customers!$A$1:$A$1001,customers!$I$1:$I$1001,,0)</f>
        <v>Yes</v>
      </c>
    </row>
    <row r="645" spans="1:16" x14ac:dyDescent="0.3">
      <c r="A645" s="2" t="s">
        <v>4123</v>
      </c>
      <c r="B645" s="3">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s="13" t="str">
        <f>_xlfn.XLOOKUP(Orders[[#This Row],[Customer ID]],customers!$A$1:$A$1001,customers!$I$1:$I$1001,,0)</f>
        <v>Yes</v>
      </c>
    </row>
    <row r="646" spans="1:16" x14ac:dyDescent="0.3">
      <c r="A646" s="2" t="s">
        <v>4128</v>
      </c>
      <c r="B646" s="3">
        <v>44694</v>
      </c>
      <c r="C646" s="2" t="s">
        <v>4129</v>
      </c>
      <c r="D646" t="s">
        <v>6149</v>
      </c>
      <c r="E646" s="2">
        <v>2</v>
      </c>
      <c r="F646" s="2" t="str">
        <f>_xlfn.XLOOKUP(orders!C646,customers!$A$1:$A$1001,customers!$B$1:$B$1001,,0)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s="13" t="str">
        <f>_xlfn.XLOOKUP(Orders[[#This Row],[Customer ID]],customers!$A$1:$A$1001,customers!$I$1:$I$1001,,0)</f>
        <v>No</v>
      </c>
    </row>
    <row r="647" spans="1:16" x14ac:dyDescent="0.3">
      <c r="A647" s="2" t="s">
        <v>4133</v>
      </c>
      <c r="B647" s="3">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s="13" t="str">
        <f>_xlfn.XLOOKUP(Orders[[#This Row],[Customer ID]],customers!$A$1:$A$1001,customers!$I$1:$I$1001,,0)</f>
        <v>Yes</v>
      </c>
    </row>
    <row r="648" spans="1:16" x14ac:dyDescent="0.3">
      <c r="A648" s="2" t="s">
        <v>4139</v>
      </c>
      <c r="B648" s="3">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s="13" t="str">
        <f>_xlfn.XLOOKUP(Orders[[#This Row],[Customer ID]],customers!$A$1:$A$1001,customers!$I$1:$I$1001,,0)</f>
        <v>Yes</v>
      </c>
    </row>
    <row r="649" spans="1:16" x14ac:dyDescent="0.3">
      <c r="A649" s="2" t="s">
        <v>4145</v>
      </c>
      <c r="B649" s="3">
        <v>44502</v>
      </c>
      <c r="C649" s="2" t="s">
        <v>4146</v>
      </c>
      <c r="D649" t="s">
        <v>6161</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s="13" t="str">
        <f>_xlfn.XLOOKUP(Orders[[#This Row],[Customer ID]],customers!$A$1:$A$1001,customers!$I$1:$I$1001,,0)</f>
        <v>Yes</v>
      </c>
    </row>
    <row r="650" spans="1:16" x14ac:dyDescent="0.3">
      <c r="A650" s="2" t="s">
        <v>4151</v>
      </c>
      <c r="B650" s="3">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s="13" t="str">
        <f>_xlfn.XLOOKUP(Orders[[#This Row],[Customer ID]],customers!$A$1:$A$1001,customers!$I$1:$I$1001,,0)</f>
        <v>No</v>
      </c>
    </row>
    <row r="651" spans="1:16" x14ac:dyDescent="0.3">
      <c r="A651" s="2" t="s">
        <v>4157</v>
      </c>
      <c r="B651" s="3">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s="13" t="str">
        <f>_xlfn.XLOOKUP(Orders[[#This Row],[Customer ID]],customers!$A$1:$A$1001,customers!$I$1:$I$1001,,0)</f>
        <v>No</v>
      </c>
    </row>
    <row r="652" spans="1:16" x14ac:dyDescent="0.3">
      <c r="A652" s="2" t="s">
        <v>4163</v>
      </c>
      <c r="B652" s="3">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s="13" t="str">
        <f>_xlfn.XLOOKUP(Orders[[#This Row],[Customer ID]],customers!$A$1:$A$1001,customers!$I$1:$I$1001,,0)</f>
        <v>Yes</v>
      </c>
    </row>
    <row r="653" spans="1:16" x14ac:dyDescent="0.3">
      <c r="A653" s="2" t="s">
        <v>4169</v>
      </c>
      <c r="B653" s="3">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s="13" t="str">
        <f>_xlfn.XLOOKUP(Orders[[#This Row],[Customer ID]],customers!$A$1:$A$1001,customers!$I$1:$I$1001,,0)</f>
        <v>No</v>
      </c>
    </row>
    <row r="654" spans="1:16" x14ac:dyDescent="0.3">
      <c r="A654" s="2" t="s">
        <v>4174</v>
      </c>
      <c r="B654" s="3">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s="13" t="str">
        <f>_xlfn.XLOOKUP(Orders[[#This Row],[Customer ID]],customers!$A$1:$A$1001,customers!$I$1:$I$1001,,0)</f>
        <v>No</v>
      </c>
    </row>
    <row r="655" spans="1:16" x14ac:dyDescent="0.3">
      <c r="A655" s="2" t="s">
        <v>4179</v>
      </c>
      <c r="B655" s="3">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s="13" t="str">
        <f>_xlfn.XLOOKUP(Orders[[#This Row],[Customer ID]],customers!$A$1:$A$1001,customers!$I$1:$I$1001,,0)</f>
        <v>No</v>
      </c>
    </row>
    <row r="656" spans="1:16" x14ac:dyDescent="0.3">
      <c r="A656" s="2" t="s">
        <v>4185</v>
      </c>
      <c r="B656" s="3">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s="13" t="str">
        <f>_xlfn.XLOOKUP(Orders[[#This Row],[Customer ID]],customers!$A$1:$A$1001,customers!$I$1:$I$1001,,0)</f>
        <v>No</v>
      </c>
    </row>
    <row r="657" spans="1:16" x14ac:dyDescent="0.3">
      <c r="A657" s="2" t="s">
        <v>4191</v>
      </c>
      <c r="B657" s="3">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s="13" t="str">
        <f>_xlfn.XLOOKUP(Orders[[#This Row],[Customer ID]],customers!$A$1:$A$1001,customers!$I$1:$I$1001,,0)</f>
        <v>Yes</v>
      </c>
    </row>
    <row r="658" spans="1:16" x14ac:dyDescent="0.3">
      <c r="A658" s="2" t="s">
        <v>4196</v>
      </c>
      <c r="B658" s="3">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s="13" t="str">
        <f>_xlfn.XLOOKUP(Orders[[#This Row],[Customer ID]],customers!$A$1:$A$1001,customers!$I$1:$I$1001,,0)</f>
        <v>No</v>
      </c>
    </row>
    <row r="659" spans="1:16" x14ac:dyDescent="0.3">
      <c r="A659" s="2" t="s">
        <v>4201</v>
      </c>
      <c r="B659" s="3">
        <v>43831</v>
      </c>
      <c r="C659" s="2" t="s">
        <v>4202</v>
      </c>
      <c r="D659" t="s">
        <v>6157</v>
      </c>
      <c r="E659" s="2">
        <v>2</v>
      </c>
      <c r="F659" s="2" t="str">
        <f>_xlfn.XLOOKUP(orders!C659,customers!$A$1:$A$1001,customers!$B$1:$B$1001,,0)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s="13" t="str">
        <f>_xlfn.XLOOKUP(Orders[[#This Row],[Customer ID]],customers!$A$1:$A$1001,customers!$I$1:$I$1001,,0)</f>
        <v>Yes</v>
      </c>
    </row>
    <row r="660" spans="1:16" x14ac:dyDescent="0.3">
      <c r="A660" s="2" t="s">
        <v>4207</v>
      </c>
      <c r="B660" s="3">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s="13" t="str">
        <f>_xlfn.XLOOKUP(Orders[[#This Row],[Customer ID]],customers!$A$1:$A$1001,customers!$I$1:$I$1001,,0)</f>
        <v>Yes</v>
      </c>
    </row>
    <row r="661" spans="1:16" x14ac:dyDescent="0.3">
      <c r="A661" s="2" t="s">
        <v>4211</v>
      </c>
      <c r="B661" s="3">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s="13" t="str">
        <f>_xlfn.XLOOKUP(Orders[[#This Row],[Customer ID]],customers!$A$1:$A$1001,customers!$I$1:$I$1001,,0)</f>
        <v>Yes</v>
      </c>
    </row>
    <row r="662" spans="1:16" x14ac:dyDescent="0.3">
      <c r="A662" s="2" t="s">
        <v>4217</v>
      </c>
      <c r="B662" s="3">
        <v>44084</v>
      </c>
      <c r="C662" s="2" t="s">
        <v>4218</v>
      </c>
      <c r="D662" t="s">
        <v>6176</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s="13" t="str">
        <f>_xlfn.XLOOKUP(Orders[[#This Row],[Customer ID]],customers!$A$1:$A$1001,customers!$I$1:$I$1001,,0)</f>
        <v>No</v>
      </c>
    </row>
    <row r="663" spans="1:16" x14ac:dyDescent="0.3">
      <c r="A663" s="2" t="s">
        <v>4223</v>
      </c>
      <c r="B663" s="3">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s="13" t="str">
        <f>_xlfn.XLOOKUP(Orders[[#This Row],[Customer ID]],customers!$A$1:$A$1001,customers!$I$1:$I$1001,,0)</f>
        <v>Yes</v>
      </c>
    </row>
    <row r="664" spans="1:16" x14ac:dyDescent="0.3">
      <c r="A664" s="2" t="s">
        <v>4229</v>
      </c>
      <c r="B664" s="3">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s="13" t="str">
        <f>_xlfn.XLOOKUP(Orders[[#This Row],[Customer ID]],customers!$A$1:$A$1001,customers!$I$1:$I$1001,,0)</f>
        <v>No</v>
      </c>
    </row>
    <row r="665" spans="1:16" x14ac:dyDescent="0.3">
      <c r="A665" s="2" t="s">
        <v>4234</v>
      </c>
      <c r="B665" s="3">
        <v>43554</v>
      </c>
      <c r="C665" s="2" t="s">
        <v>4235</v>
      </c>
      <c r="D665" t="s">
        <v>6155</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s="13" t="str">
        <f>_xlfn.XLOOKUP(Orders[[#This Row],[Customer ID]],customers!$A$1:$A$1001,customers!$I$1:$I$1001,,0)</f>
        <v>No</v>
      </c>
    </row>
    <row r="666" spans="1:16" x14ac:dyDescent="0.3">
      <c r="A666" s="2" t="s">
        <v>4239</v>
      </c>
      <c r="B666" s="3">
        <v>44549</v>
      </c>
      <c r="C666" s="2" t="s">
        <v>4240</v>
      </c>
      <c r="D666" t="s">
        <v>6183</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s="13" t="str">
        <f>_xlfn.XLOOKUP(Orders[[#This Row],[Customer ID]],customers!$A$1:$A$1001,customers!$I$1:$I$1001,,0)</f>
        <v>No</v>
      </c>
    </row>
    <row r="667" spans="1:16" x14ac:dyDescent="0.3">
      <c r="A667" s="2" t="s">
        <v>4239</v>
      </c>
      <c r="B667" s="3">
        <v>44549</v>
      </c>
      <c r="C667" s="2" t="s">
        <v>4240</v>
      </c>
      <c r="D667" t="s">
        <v>6150</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s="13" t="str">
        <f>_xlfn.XLOOKUP(Orders[[#This Row],[Customer ID]],customers!$A$1:$A$1001,customers!$I$1:$I$1001,,0)</f>
        <v>No</v>
      </c>
    </row>
    <row r="668" spans="1:16" x14ac:dyDescent="0.3">
      <c r="A668" s="2" t="s">
        <v>4250</v>
      </c>
      <c r="B668" s="3">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s="13" t="str">
        <f>_xlfn.XLOOKUP(Orders[[#This Row],[Customer ID]],customers!$A$1:$A$1001,customers!$I$1:$I$1001,,0)</f>
        <v>No</v>
      </c>
    </row>
    <row r="669" spans="1:16" x14ac:dyDescent="0.3">
      <c r="A669" s="2" t="s">
        <v>4256</v>
      </c>
      <c r="B669" s="3">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s="13" t="str">
        <f>_xlfn.XLOOKUP(Orders[[#This Row],[Customer ID]],customers!$A$1:$A$1001,customers!$I$1:$I$1001,,0)</f>
        <v>No</v>
      </c>
    </row>
    <row r="670" spans="1:16" x14ac:dyDescent="0.3">
      <c r="A670" s="2" t="s">
        <v>4262</v>
      </c>
      <c r="B670" s="3">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s="13" t="str">
        <f>_xlfn.XLOOKUP(Orders[[#This Row],[Customer ID]],customers!$A$1:$A$1001,customers!$I$1:$I$1001,,0)</f>
        <v>Yes</v>
      </c>
    </row>
    <row r="671" spans="1:16" x14ac:dyDescent="0.3">
      <c r="A671" s="2" t="s">
        <v>4268</v>
      </c>
      <c r="B671" s="3">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s="13" t="str">
        <f>_xlfn.XLOOKUP(Orders[[#This Row],[Customer ID]],customers!$A$1:$A$1001,customers!$I$1:$I$1001,,0)</f>
        <v>No</v>
      </c>
    </row>
    <row r="672" spans="1:16" x14ac:dyDescent="0.3">
      <c r="A672" s="2" t="s">
        <v>4274</v>
      </c>
      <c r="B672" s="3">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s="13" t="str">
        <f>_xlfn.XLOOKUP(Orders[[#This Row],[Customer ID]],customers!$A$1:$A$1001,customers!$I$1:$I$1001,,0)</f>
        <v>Yes</v>
      </c>
    </row>
    <row r="673" spans="1:16" x14ac:dyDescent="0.3">
      <c r="A673" s="2" t="s">
        <v>4280</v>
      </c>
      <c r="B673" s="3">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s="13" t="str">
        <f>_xlfn.XLOOKUP(Orders[[#This Row],[Customer ID]],customers!$A$1:$A$1001,customers!$I$1:$I$1001,,0)</f>
        <v>No</v>
      </c>
    </row>
    <row r="674" spans="1:16" x14ac:dyDescent="0.3">
      <c r="A674" s="2" t="s">
        <v>4286</v>
      </c>
      <c r="B674" s="3">
        <v>43916</v>
      </c>
      <c r="C674" s="2" t="s">
        <v>4287</v>
      </c>
      <c r="D674" t="s">
        <v>6160</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s="13" t="str">
        <f>_xlfn.XLOOKUP(Orders[[#This Row],[Customer ID]],customers!$A$1:$A$1001,customers!$I$1:$I$1001,,0)</f>
        <v>Yes</v>
      </c>
    </row>
    <row r="675" spans="1:16" x14ac:dyDescent="0.3">
      <c r="A675" s="2" t="s">
        <v>4291</v>
      </c>
      <c r="B675" s="3">
        <v>44118</v>
      </c>
      <c r="C675" s="2" t="s">
        <v>4292</v>
      </c>
      <c r="D675" t="s">
        <v>6141</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s="13" t="str">
        <f>_xlfn.XLOOKUP(Orders[[#This Row],[Customer ID]],customers!$A$1:$A$1001,customers!$I$1:$I$1001,,0)</f>
        <v>Yes</v>
      </c>
    </row>
    <row r="676" spans="1:16" x14ac:dyDescent="0.3">
      <c r="A676" s="2" t="s">
        <v>4297</v>
      </c>
      <c r="B676" s="3">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s="13" t="str">
        <f>_xlfn.XLOOKUP(Orders[[#This Row],[Customer ID]],customers!$A$1:$A$1001,customers!$I$1:$I$1001,,0)</f>
        <v>Yes</v>
      </c>
    </row>
    <row r="677" spans="1:16" x14ac:dyDescent="0.3">
      <c r="A677" s="2" t="s">
        <v>4303</v>
      </c>
      <c r="B677" s="3">
        <v>44263</v>
      </c>
      <c r="C677" s="2" t="s">
        <v>4304</v>
      </c>
      <c r="D677" t="s">
        <v>6165</v>
      </c>
      <c r="E677" s="2">
        <v>4</v>
      </c>
      <c r="F677" s="2" t="str">
        <f>_xlfn.XLOOKUP(orders!C677,customers!$A$1:$A$1001,customers!$B$1:$B$1001,,0)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s="13" t="str">
        <f>_xlfn.XLOOKUP(Orders[[#This Row],[Customer ID]],customers!$A$1:$A$1001,customers!$I$1:$I$1001,,0)</f>
        <v>Yes</v>
      </c>
    </row>
    <row r="678" spans="1:16" x14ac:dyDescent="0.3">
      <c r="A678" s="2" t="s">
        <v>4308</v>
      </c>
      <c r="B678" s="3">
        <v>44217</v>
      </c>
      <c r="C678" s="2" t="s">
        <v>4309</v>
      </c>
      <c r="D678" t="s">
        <v>6161</v>
      </c>
      <c r="E678" s="2">
        <v>5</v>
      </c>
      <c r="F678" s="2" t="str">
        <f>_xlfn.XLOOKUP(orders!C678,customers!$A$1:$A$1001,customers!$B$1:$B$1001,,0)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s="13" t="str">
        <f>_xlfn.XLOOKUP(Orders[[#This Row],[Customer ID]],customers!$A$1:$A$1001,customers!$I$1:$I$1001,,0)</f>
        <v>No</v>
      </c>
    </row>
    <row r="679" spans="1:16" x14ac:dyDescent="0.3">
      <c r="A679" s="2" t="s">
        <v>4313</v>
      </c>
      <c r="B679" s="3">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s="13" t="str">
        <f>_xlfn.XLOOKUP(Orders[[#This Row],[Customer ID]],customers!$A$1:$A$1001,customers!$I$1:$I$1001,,0)</f>
        <v>No</v>
      </c>
    </row>
    <row r="680" spans="1:16" x14ac:dyDescent="0.3">
      <c r="A680" s="2" t="s">
        <v>4319</v>
      </c>
      <c r="B680" s="3">
        <v>44281</v>
      </c>
      <c r="C680" s="2" t="s">
        <v>4320</v>
      </c>
      <c r="D680" t="s">
        <v>6182</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s="13" t="str">
        <f>_xlfn.XLOOKUP(Orders[[#This Row],[Customer ID]],customers!$A$1:$A$1001,customers!$I$1:$I$1001,,0)</f>
        <v>Yes</v>
      </c>
    </row>
    <row r="681" spans="1:16" x14ac:dyDescent="0.3">
      <c r="A681" s="2" t="s">
        <v>4325</v>
      </c>
      <c r="B681" s="3">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s="13" t="str">
        <f>_xlfn.XLOOKUP(Orders[[#This Row],[Customer ID]],customers!$A$1:$A$1001,customers!$I$1:$I$1001,,0)</f>
        <v>No</v>
      </c>
    </row>
    <row r="682" spans="1:16" x14ac:dyDescent="0.3">
      <c r="A682" s="2" t="s">
        <v>4331</v>
      </c>
      <c r="B682" s="3">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s="13" t="str">
        <f>_xlfn.XLOOKUP(Orders[[#This Row],[Customer ID]],customers!$A$1:$A$1001,customers!$I$1:$I$1001,,0)</f>
        <v>No</v>
      </c>
    </row>
    <row r="683" spans="1:16" x14ac:dyDescent="0.3">
      <c r="A683" s="2" t="s">
        <v>4336</v>
      </c>
      <c r="B683" s="3">
        <v>44080</v>
      </c>
      <c r="C683" s="2" t="s">
        <v>4337</v>
      </c>
      <c r="D683" t="s">
        <v>6145</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s="13" t="str">
        <f>_xlfn.XLOOKUP(Orders[[#This Row],[Customer ID]],customers!$A$1:$A$1001,customers!$I$1:$I$1001,,0)</f>
        <v>Yes</v>
      </c>
    </row>
    <row r="684" spans="1:16" x14ac:dyDescent="0.3">
      <c r="A684" s="2" t="s">
        <v>4342</v>
      </c>
      <c r="B684" s="3">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s="13" t="str">
        <f>_xlfn.XLOOKUP(Orders[[#This Row],[Customer ID]],customers!$A$1:$A$1001,customers!$I$1:$I$1001,,0)</f>
        <v>Yes</v>
      </c>
    </row>
    <row r="685" spans="1:16" x14ac:dyDescent="0.3">
      <c r="A685" s="2" t="s">
        <v>4348</v>
      </c>
      <c r="B685" s="3">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s="13" t="str">
        <f>_xlfn.XLOOKUP(Orders[[#This Row],[Customer ID]],customers!$A$1:$A$1001,customers!$I$1:$I$1001,,0)</f>
        <v>No</v>
      </c>
    </row>
    <row r="686" spans="1:16" x14ac:dyDescent="0.3">
      <c r="A686" s="2" t="s">
        <v>4354</v>
      </c>
      <c r="B686" s="3">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s="13" t="str">
        <f>_xlfn.XLOOKUP(Orders[[#This Row],[Customer ID]],customers!$A$1:$A$1001,customers!$I$1:$I$1001,,0)</f>
        <v>No</v>
      </c>
    </row>
    <row r="687" spans="1:16" x14ac:dyDescent="0.3">
      <c r="A687" s="2" t="s">
        <v>4359</v>
      </c>
      <c r="B687" s="3">
        <v>44637</v>
      </c>
      <c r="C687" s="2" t="s">
        <v>4360</v>
      </c>
      <c r="D687" t="s">
        <v>6164</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s="13" t="str">
        <f>_xlfn.XLOOKUP(Orders[[#This Row],[Customer ID]],customers!$A$1:$A$1001,customers!$I$1:$I$1001,,0)</f>
        <v>Yes</v>
      </c>
    </row>
    <row r="688" spans="1:16" x14ac:dyDescent="0.3">
      <c r="A688" s="2" t="s">
        <v>4365</v>
      </c>
      <c r="B688" s="3">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s="13" t="str">
        <f>_xlfn.XLOOKUP(Orders[[#This Row],[Customer ID]],customers!$A$1:$A$1001,customers!$I$1:$I$1001,,0)</f>
        <v>Yes</v>
      </c>
    </row>
    <row r="689" spans="1:16" x14ac:dyDescent="0.3">
      <c r="A689" s="2" t="s">
        <v>4371</v>
      </c>
      <c r="B689" s="3">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s="13" t="str">
        <f>_xlfn.XLOOKUP(Orders[[#This Row],[Customer ID]],customers!$A$1:$A$1001,customers!$I$1:$I$1001,,0)</f>
        <v>No</v>
      </c>
    </row>
    <row r="690" spans="1:16" x14ac:dyDescent="0.3">
      <c r="A690" s="2" t="s">
        <v>4377</v>
      </c>
      <c r="B690" s="3">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s="13" t="str">
        <f>_xlfn.XLOOKUP(Orders[[#This Row],[Customer ID]],customers!$A$1:$A$1001,customers!$I$1:$I$1001,,0)</f>
        <v>No</v>
      </c>
    </row>
    <row r="691" spans="1:16" x14ac:dyDescent="0.3">
      <c r="A691" s="2" t="s">
        <v>4383</v>
      </c>
      <c r="B691" s="3">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s="13" t="str">
        <f>_xlfn.XLOOKUP(Orders[[#This Row],[Customer ID]],customers!$A$1:$A$1001,customers!$I$1:$I$1001,,0)</f>
        <v>No</v>
      </c>
    </row>
    <row r="692" spans="1:16" x14ac:dyDescent="0.3">
      <c r="A692" s="2" t="s">
        <v>4389</v>
      </c>
      <c r="B692" s="3">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s="13" t="str">
        <f>_xlfn.XLOOKUP(Orders[[#This Row],[Customer ID]],customers!$A$1:$A$1001,customers!$I$1:$I$1001,,0)</f>
        <v>No</v>
      </c>
    </row>
    <row r="693" spans="1:16" x14ac:dyDescent="0.3">
      <c r="A693" s="2" t="s">
        <v>4393</v>
      </c>
      <c r="B693" s="3">
        <v>44227</v>
      </c>
      <c r="C693" s="2" t="s">
        <v>4434</v>
      </c>
      <c r="D693" t="s">
        <v>6155</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s="13" t="str">
        <f>_xlfn.XLOOKUP(Orders[[#This Row],[Customer ID]],customers!$A$1:$A$1001,customers!$I$1:$I$1001,,0)</f>
        <v>No</v>
      </c>
    </row>
    <row r="694" spans="1:16" x14ac:dyDescent="0.3">
      <c r="A694" s="2" t="s">
        <v>4399</v>
      </c>
      <c r="B694" s="3">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s="13" t="str">
        <f>_xlfn.XLOOKUP(Orders[[#This Row],[Customer ID]],customers!$A$1:$A$1001,customers!$I$1:$I$1001,,0)</f>
        <v>No</v>
      </c>
    </row>
    <row r="695" spans="1:16" x14ac:dyDescent="0.3">
      <c r="A695" s="2" t="s">
        <v>4405</v>
      </c>
      <c r="B695" s="3">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s="13" t="str">
        <f>_xlfn.XLOOKUP(Orders[[#This Row],[Customer ID]],customers!$A$1:$A$1001,customers!$I$1:$I$1001,,0)</f>
        <v>Yes</v>
      </c>
    </row>
    <row r="696" spans="1:16" x14ac:dyDescent="0.3">
      <c r="A696" s="2" t="s">
        <v>4411</v>
      </c>
      <c r="B696" s="3">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s="13" t="str">
        <f>_xlfn.XLOOKUP(Orders[[#This Row],[Customer ID]],customers!$A$1:$A$1001,customers!$I$1:$I$1001,,0)</f>
        <v>No</v>
      </c>
    </row>
    <row r="697" spans="1:16" x14ac:dyDescent="0.3">
      <c r="A697" s="2" t="s">
        <v>4417</v>
      </c>
      <c r="B697" s="3">
        <v>44300</v>
      </c>
      <c r="C697" s="2" t="s">
        <v>4418</v>
      </c>
      <c r="D697" t="s">
        <v>6164</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s="13" t="str">
        <f>_xlfn.XLOOKUP(Orders[[#This Row],[Customer ID]],customers!$A$1:$A$1001,customers!$I$1:$I$1001,,0)</f>
        <v>Yes</v>
      </c>
    </row>
    <row r="698" spans="1:16" x14ac:dyDescent="0.3">
      <c r="A698" s="2" t="s">
        <v>4423</v>
      </c>
      <c r="B698" s="3">
        <v>43693</v>
      </c>
      <c r="C698" s="2" t="s">
        <v>4424</v>
      </c>
      <c r="D698" t="s">
        <v>6169</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s="13" t="str">
        <f>_xlfn.XLOOKUP(Orders[[#This Row],[Customer ID]],customers!$A$1:$A$1001,customers!$I$1:$I$1001,,0)</f>
        <v>No</v>
      </c>
    </row>
    <row r="699" spans="1:16" x14ac:dyDescent="0.3">
      <c r="A699" s="2" t="s">
        <v>4429</v>
      </c>
      <c r="B699" s="3">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s="13" t="str">
        <f>_xlfn.XLOOKUP(Orders[[#This Row],[Customer ID]],customers!$A$1:$A$1001,customers!$I$1:$I$1001,,0)</f>
        <v>No</v>
      </c>
    </row>
    <row r="700" spans="1:16" x14ac:dyDescent="0.3">
      <c r="A700" s="2" t="s">
        <v>4433</v>
      </c>
      <c r="B700" s="3">
        <v>43830</v>
      </c>
      <c r="C700" s="2" t="s">
        <v>4434</v>
      </c>
      <c r="D700" t="s">
        <v>6143</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s="13" t="str">
        <f>_xlfn.XLOOKUP(Orders[[#This Row],[Customer ID]],customers!$A$1:$A$1001,customers!$I$1:$I$1001,,0)</f>
        <v>No</v>
      </c>
    </row>
    <row r="701" spans="1:16" x14ac:dyDescent="0.3">
      <c r="A701" s="2" t="s">
        <v>4439</v>
      </c>
      <c r="B701" s="3">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s="13" t="str">
        <f>_xlfn.XLOOKUP(Orders[[#This Row],[Customer ID]],customers!$A$1:$A$1001,customers!$I$1:$I$1001,,0)</f>
        <v>Yes</v>
      </c>
    </row>
    <row r="702" spans="1:16" x14ac:dyDescent="0.3">
      <c r="A702" s="2" t="s">
        <v>4445</v>
      </c>
      <c r="B702" s="3">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s="13" t="str">
        <f>_xlfn.XLOOKUP(Orders[[#This Row],[Customer ID]],customers!$A$1:$A$1001,customers!$I$1:$I$1001,,0)</f>
        <v>No</v>
      </c>
    </row>
    <row r="703" spans="1:16" x14ac:dyDescent="0.3">
      <c r="A703" s="2" t="s">
        <v>4450</v>
      </c>
      <c r="B703" s="3">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s="13" t="str">
        <f>_xlfn.XLOOKUP(Orders[[#This Row],[Customer ID]],customers!$A$1:$A$1001,customers!$I$1:$I$1001,,0)</f>
        <v>Yes</v>
      </c>
    </row>
    <row r="704" spans="1:16" x14ac:dyDescent="0.3">
      <c r="A704" s="2" t="s">
        <v>4456</v>
      </c>
      <c r="B704" s="3">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s="13" t="str">
        <f>_xlfn.XLOOKUP(Orders[[#This Row],[Customer ID]],customers!$A$1:$A$1001,customers!$I$1:$I$1001,,0)</f>
        <v>Yes</v>
      </c>
    </row>
    <row r="705" spans="1:16" x14ac:dyDescent="0.3">
      <c r="A705" s="2" t="s">
        <v>4461</v>
      </c>
      <c r="B705" s="3">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s="13" t="str">
        <f>_xlfn.XLOOKUP(Orders[[#This Row],[Customer ID]],customers!$A$1:$A$1001,customers!$I$1:$I$1001,,0)</f>
        <v>Yes</v>
      </c>
    </row>
    <row r="706" spans="1:16" x14ac:dyDescent="0.3">
      <c r="A706" s="2" t="s">
        <v>4466</v>
      </c>
      <c r="B706" s="3">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s="13" t="str">
        <f>_xlfn.XLOOKUP(Orders[[#This Row],[Customer ID]],customers!$A$1:$A$1001,customers!$I$1:$I$1001,,0)</f>
        <v>Yes</v>
      </c>
    </row>
    <row r="707" spans="1:16" x14ac:dyDescent="0.3">
      <c r="A707" s="2" t="s">
        <v>4471</v>
      </c>
      <c r="B707" s="3">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s="13" t="str">
        <f>_xlfn.XLOOKUP(Orders[[#This Row],[Customer ID]],customers!$A$1:$A$1001,customers!$I$1:$I$1001,,0)</f>
        <v>No</v>
      </c>
    </row>
    <row r="708" spans="1:16" x14ac:dyDescent="0.3">
      <c r="A708" s="2" t="s">
        <v>4477</v>
      </c>
      <c r="B708" s="3">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s="13" t="str">
        <f>_xlfn.XLOOKUP(Orders[[#This Row],[Customer ID]],customers!$A$1:$A$1001,customers!$I$1:$I$1001,,0)</f>
        <v>No</v>
      </c>
    </row>
    <row r="709" spans="1:16" x14ac:dyDescent="0.3">
      <c r="A709" s="2" t="s">
        <v>4483</v>
      </c>
      <c r="B709" s="3">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s="13" t="str">
        <f>_xlfn.XLOOKUP(Orders[[#This Row],[Customer ID]],customers!$A$1:$A$1001,customers!$I$1:$I$1001,,0)</f>
        <v>No</v>
      </c>
    </row>
    <row r="710" spans="1:16" x14ac:dyDescent="0.3">
      <c r="A710" s="2" t="s">
        <v>4488</v>
      </c>
      <c r="B710" s="3">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s="13" t="str">
        <f>_xlfn.XLOOKUP(Orders[[#This Row],[Customer ID]],customers!$A$1:$A$1001,customers!$I$1:$I$1001,,0)</f>
        <v>Yes</v>
      </c>
    </row>
    <row r="711" spans="1:16" x14ac:dyDescent="0.3">
      <c r="A711" s="2" t="s">
        <v>4494</v>
      </c>
      <c r="B711" s="3">
        <v>43485</v>
      </c>
      <c r="C711" s="2" t="s">
        <v>4495</v>
      </c>
      <c r="D711" t="s">
        <v>6176</v>
      </c>
      <c r="E711" s="2">
        <v>2</v>
      </c>
      <c r="F711" s="2" t="str">
        <f>_xlfn.XLOOKUP(orders!C711,customers!$A$1:$A$1001,customers!$B$1:$B$1001,,0)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s="13" t="str">
        <f>_xlfn.XLOOKUP(Orders[[#This Row],[Customer ID]],customers!$A$1:$A$1001,customers!$I$1:$I$1001,,0)</f>
        <v>Yes</v>
      </c>
    </row>
    <row r="712" spans="1:16" x14ac:dyDescent="0.3">
      <c r="A712" s="2" t="s">
        <v>4499</v>
      </c>
      <c r="B712" s="3">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s="13" t="str">
        <f>_xlfn.XLOOKUP(Orders[[#This Row],[Customer ID]],customers!$A$1:$A$1001,customers!$I$1:$I$1001,,0)</f>
        <v>No</v>
      </c>
    </row>
    <row r="713" spans="1:16" x14ac:dyDescent="0.3">
      <c r="A713" s="2" t="s">
        <v>4505</v>
      </c>
      <c r="B713" s="3">
        <v>44600</v>
      </c>
      <c r="C713" s="2" t="s">
        <v>4506</v>
      </c>
      <c r="D713" t="s">
        <v>6174</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s="13" t="str">
        <f>_xlfn.XLOOKUP(Orders[[#This Row],[Customer ID]],customers!$A$1:$A$1001,customers!$I$1:$I$1001,,0)</f>
        <v>No</v>
      </c>
    </row>
    <row r="714" spans="1:16" x14ac:dyDescent="0.3">
      <c r="A714" s="2" t="s">
        <v>4512</v>
      </c>
      <c r="B714" s="3">
        <v>43646</v>
      </c>
      <c r="C714" s="2" t="s">
        <v>4513</v>
      </c>
      <c r="D714" t="s">
        <v>6139</v>
      </c>
      <c r="E714" s="2">
        <v>2</v>
      </c>
      <c r="F714" s="2" t="str">
        <f>_xlfn.XLOOKUP(orders!C714,customers!$A$1:$A$1001,customers!$B$1:$B$1001,,0)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s="13" t="str">
        <f>_xlfn.XLOOKUP(Orders[[#This Row],[Customer ID]],customers!$A$1:$A$1001,customers!$I$1:$I$1001,,0)</f>
        <v>No</v>
      </c>
    </row>
    <row r="715" spans="1:16" x14ac:dyDescent="0.3">
      <c r="A715" s="2" t="s">
        <v>4516</v>
      </c>
      <c r="B715" s="3">
        <v>43960</v>
      </c>
      <c r="C715" s="2" t="s">
        <v>4517</v>
      </c>
      <c r="D715" t="s">
        <v>6174</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s="13" t="str">
        <f>_xlfn.XLOOKUP(Orders[[#This Row],[Customer ID]],customers!$A$1:$A$1001,customers!$I$1:$I$1001,,0)</f>
        <v>No</v>
      </c>
    </row>
    <row r="716" spans="1:16" x14ac:dyDescent="0.3">
      <c r="A716" s="2" t="s">
        <v>4522</v>
      </c>
      <c r="B716" s="3">
        <v>44358</v>
      </c>
      <c r="C716" s="2" t="s">
        <v>4523</v>
      </c>
      <c r="D716" t="s">
        <v>6153</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s="13" t="str">
        <f>_xlfn.XLOOKUP(Orders[[#This Row],[Customer ID]],customers!$A$1:$A$1001,customers!$I$1:$I$1001,,0)</f>
        <v>Yes</v>
      </c>
    </row>
    <row r="717" spans="1:16" x14ac:dyDescent="0.3">
      <c r="A717" s="2" t="s">
        <v>4528</v>
      </c>
      <c r="B717" s="3">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s="13" t="str">
        <f>_xlfn.XLOOKUP(Orders[[#This Row],[Customer ID]],customers!$A$1:$A$1001,customers!$I$1:$I$1001,,0)</f>
        <v>No</v>
      </c>
    </row>
    <row r="718" spans="1:16" x14ac:dyDescent="0.3">
      <c r="A718" s="2" t="s">
        <v>4533</v>
      </c>
      <c r="B718" s="3">
        <v>44612</v>
      </c>
      <c r="C718" s="2" t="s">
        <v>4434</v>
      </c>
      <c r="D718" t="s">
        <v>6179</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s="13" t="str">
        <f>_xlfn.XLOOKUP(Orders[[#This Row],[Customer ID]],customers!$A$1:$A$1001,customers!$I$1:$I$1001,,0)</f>
        <v>No</v>
      </c>
    </row>
    <row r="719" spans="1:16" x14ac:dyDescent="0.3">
      <c r="A719" s="2" t="s">
        <v>4539</v>
      </c>
      <c r="B719" s="3">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s="13" t="str">
        <f>_xlfn.XLOOKUP(Orders[[#This Row],[Customer ID]],customers!$A$1:$A$1001,customers!$I$1:$I$1001,,0)</f>
        <v>No</v>
      </c>
    </row>
    <row r="720" spans="1:16" x14ac:dyDescent="0.3">
      <c r="A720" s="2" t="s">
        <v>4545</v>
      </c>
      <c r="B720" s="3">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s="13" t="str">
        <f>_xlfn.XLOOKUP(Orders[[#This Row],[Customer ID]],customers!$A$1:$A$1001,customers!$I$1:$I$1001,,0)</f>
        <v>No</v>
      </c>
    </row>
    <row r="721" spans="1:16" x14ac:dyDescent="0.3">
      <c r="A721" s="2" t="s">
        <v>4551</v>
      </c>
      <c r="B721" s="3">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s="13" t="str">
        <f>_xlfn.XLOOKUP(Orders[[#This Row],[Customer ID]],customers!$A$1:$A$1001,customers!$I$1:$I$1001,,0)</f>
        <v>Yes</v>
      </c>
    </row>
    <row r="722" spans="1:16" x14ac:dyDescent="0.3">
      <c r="A722" s="2" t="s">
        <v>4557</v>
      </c>
      <c r="B722" s="3">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s="13" t="str">
        <f>_xlfn.XLOOKUP(Orders[[#This Row],[Customer ID]],customers!$A$1:$A$1001,customers!$I$1:$I$1001,,0)</f>
        <v>Yes</v>
      </c>
    </row>
    <row r="723" spans="1:16" x14ac:dyDescent="0.3">
      <c r="A723" s="2" t="s">
        <v>4563</v>
      </c>
      <c r="B723" s="3">
        <v>44479</v>
      </c>
      <c r="C723" s="2" t="s">
        <v>4564</v>
      </c>
      <c r="D723" t="s">
        <v>6174</v>
      </c>
      <c r="E723" s="2">
        <v>3</v>
      </c>
      <c r="F723" s="2" t="str">
        <f>_xlfn.XLOOKUP(orders!C723,customers!$A$1:$A$1001,customers!$B$1:$B$1001,,0)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s="13" t="str">
        <f>_xlfn.XLOOKUP(Orders[[#This Row],[Customer ID]],customers!$A$1:$A$1001,customers!$I$1:$I$1001,,0)</f>
        <v>Yes</v>
      </c>
    </row>
    <row r="724" spans="1:16" x14ac:dyDescent="0.3">
      <c r="A724" s="2" t="s">
        <v>4569</v>
      </c>
      <c r="B724" s="3">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s="13" t="str">
        <f>_xlfn.XLOOKUP(Orders[[#This Row],[Customer ID]],customers!$A$1:$A$1001,customers!$I$1:$I$1001,,0)</f>
        <v>No</v>
      </c>
    </row>
    <row r="725" spans="1:16" x14ac:dyDescent="0.3">
      <c r="A725" s="2" t="s">
        <v>4574</v>
      </c>
      <c r="B725" s="3">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s="13" t="str">
        <f>_xlfn.XLOOKUP(Orders[[#This Row],[Customer ID]],customers!$A$1:$A$1001,customers!$I$1:$I$1001,,0)</f>
        <v>No</v>
      </c>
    </row>
    <row r="726" spans="1:16" x14ac:dyDescent="0.3">
      <c r="A726" s="2" t="s">
        <v>4580</v>
      </c>
      <c r="B726" s="3">
        <v>44076</v>
      </c>
      <c r="C726" s="2" t="s">
        <v>4581</v>
      </c>
      <c r="D726" t="s">
        <v>6152</v>
      </c>
      <c r="E726" s="2">
        <v>2</v>
      </c>
      <c r="F726" s="2" t="str">
        <f>_xlfn.XLOOKUP(orders!C726,customers!$A$1:$A$1001,customers!$B$1:$B$1001,,0)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s="13" t="str">
        <f>_xlfn.XLOOKUP(Orders[[#This Row],[Customer ID]],customers!$A$1:$A$1001,customers!$I$1:$I$1001,,0)</f>
        <v>Yes</v>
      </c>
    </row>
    <row r="727" spans="1:16" x14ac:dyDescent="0.3">
      <c r="A727" s="2" t="s">
        <v>4585</v>
      </c>
      <c r="B727" s="3">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s="13" t="str">
        <f>_xlfn.XLOOKUP(Orders[[#This Row],[Customer ID]],customers!$A$1:$A$1001,customers!$I$1:$I$1001,,0)</f>
        <v>No</v>
      </c>
    </row>
    <row r="728" spans="1:16" x14ac:dyDescent="0.3">
      <c r="A728" s="2" t="s">
        <v>4591</v>
      </c>
      <c r="B728" s="3">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s="13" t="str">
        <f>_xlfn.XLOOKUP(Orders[[#This Row],[Customer ID]],customers!$A$1:$A$1001,customers!$I$1:$I$1001,,0)</f>
        <v>No</v>
      </c>
    </row>
    <row r="729" spans="1:16" x14ac:dyDescent="0.3">
      <c r="A729" s="2" t="s">
        <v>4596</v>
      </c>
      <c r="B729" s="3">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s="13" t="str">
        <f>_xlfn.XLOOKUP(Orders[[#This Row],[Customer ID]],customers!$A$1:$A$1001,customers!$I$1:$I$1001,,0)</f>
        <v>Yes</v>
      </c>
    </row>
    <row r="730" spans="1:16" x14ac:dyDescent="0.3">
      <c r="A730" s="2" t="s">
        <v>4602</v>
      </c>
      <c r="B730" s="3">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s="13" t="str">
        <f>_xlfn.XLOOKUP(Orders[[#This Row],[Customer ID]],customers!$A$1:$A$1001,customers!$I$1:$I$1001,,0)</f>
        <v>Yes</v>
      </c>
    </row>
    <row r="731" spans="1:16" x14ac:dyDescent="0.3">
      <c r="A731" s="2" t="s">
        <v>4608</v>
      </c>
      <c r="B731" s="3">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s="13" t="str">
        <f>_xlfn.XLOOKUP(Orders[[#This Row],[Customer ID]],customers!$A$1:$A$1001,customers!$I$1:$I$1001,,0)</f>
        <v>No</v>
      </c>
    </row>
    <row r="732" spans="1:16" x14ac:dyDescent="0.3">
      <c r="A732" s="2" t="s">
        <v>4614</v>
      </c>
      <c r="B732" s="3">
        <v>43475</v>
      </c>
      <c r="C732" s="2" t="s">
        <v>4615</v>
      </c>
      <c r="D732" t="s">
        <v>6164</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s="13" t="str">
        <f>_xlfn.XLOOKUP(Orders[[#This Row],[Customer ID]],customers!$A$1:$A$1001,customers!$I$1:$I$1001,,0)</f>
        <v>No</v>
      </c>
    </row>
    <row r="733" spans="1:16" x14ac:dyDescent="0.3">
      <c r="A733" s="2" t="s">
        <v>4620</v>
      </c>
      <c r="B733" s="3">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s="13" t="str">
        <f>_xlfn.XLOOKUP(Orders[[#This Row],[Customer ID]],customers!$A$1:$A$1001,customers!$I$1:$I$1001,,0)</f>
        <v>Yes</v>
      </c>
    </row>
    <row r="734" spans="1:16" x14ac:dyDescent="0.3">
      <c r="A734" s="2" t="s">
        <v>4625</v>
      </c>
      <c r="B734" s="3">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s="13" t="str">
        <f>_xlfn.XLOOKUP(Orders[[#This Row],[Customer ID]],customers!$A$1:$A$1001,customers!$I$1:$I$1001,,0)</f>
        <v>No</v>
      </c>
    </row>
    <row r="735" spans="1:16" x14ac:dyDescent="0.3">
      <c r="A735" s="2" t="s">
        <v>4631</v>
      </c>
      <c r="B735" s="3">
        <v>44565</v>
      </c>
      <c r="C735" s="2" t="s">
        <v>4632</v>
      </c>
      <c r="D735" t="s">
        <v>6181</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s="13" t="str">
        <f>_xlfn.XLOOKUP(Orders[[#This Row],[Customer ID]],customers!$A$1:$A$1001,customers!$I$1:$I$1001,,0)</f>
        <v>Yes</v>
      </c>
    </row>
    <row r="736" spans="1:16" x14ac:dyDescent="0.3">
      <c r="A736" s="2" t="s">
        <v>4637</v>
      </c>
      <c r="B736" s="3">
        <v>43697</v>
      </c>
      <c r="C736" s="2" t="s">
        <v>4638</v>
      </c>
      <c r="D736" t="s">
        <v>6163</v>
      </c>
      <c r="E736" s="2">
        <v>5</v>
      </c>
      <c r="F736" s="2" t="str">
        <f>_xlfn.XLOOKUP(orders!C736,customers!$A$1:$A$1001,customers!$B$1:$B$1001,,0)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s="13" t="str">
        <f>_xlfn.XLOOKUP(Orders[[#This Row],[Customer ID]],customers!$A$1:$A$1001,customers!$I$1:$I$1001,,0)</f>
        <v>No</v>
      </c>
    </row>
    <row r="737" spans="1:16" x14ac:dyDescent="0.3">
      <c r="A737" s="2" t="s">
        <v>4642</v>
      </c>
      <c r="B737" s="3">
        <v>44757</v>
      </c>
      <c r="C737" s="2" t="s">
        <v>4643</v>
      </c>
      <c r="D737" t="s">
        <v>6153</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s="13" t="str">
        <f>_xlfn.XLOOKUP(Orders[[#This Row],[Customer ID]],customers!$A$1:$A$1001,customers!$I$1:$I$1001,,0)</f>
        <v>No</v>
      </c>
    </row>
    <row r="738" spans="1:16" x14ac:dyDescent="0.3">
      <c r="A738" s="2" t="s">
        <v>4647</v>
      </c>
      <c r="B738" s="3">
        <v>43508</v>
      </c>
      <c r="C738" s="2" t="s">
        <v>4648</v>
      </c>
      <c r="D738" t="s">
        <v>6143</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s="13" t="str">
        <f>_xlfn.XLOOKUP(Orders[[#This Row],[Customer ID]],customers!$A$1:$A$1001,customers!$I$1:$I$1001,,0)</f>
        <v>Yes</v>
      </c>
    </row>
    <row r="739" spans="1:16" x14ac:dyDescent="0.3">
      <c r="A739" s="2" t="s">
        <v>4653</v>
      </c>
      <c r="B739" s="3">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s="13" t="str">
        <f>_xlfn.XLOOKUP(Orders[[#This Row],[Customer ID]],customers!$A$1:$A$1001,customers!$I$1:$I$1001,,0)</f>
        <v>No</v>
      </c>
    </row>
    <row r="740" spans="1:16" x14ac:dyDescent="0.3">
      <c r="A740" s="2" t="s">
        <v>4659</v>
      </c>
      <c r="B740" s="3">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s="13" t="str">
        <f>_xlfn.XLOOKUP(Orders[[#This Row],[Customer ID]],customers!$A$1:$A$1001,customers!$I$1:$I$1001,,0)</f>
        <v>No</v>
      </c>
    </row>
    <row r="741" spans="1:16" x14ac:dyDescent="0.3">
      <c r="A741" s="2" t="s">
        <v>4665</v>
      </c>
      <c r="B741" s="3">
        <v>44433</v>
      </c>
      <c r="C741" s="2" t="s">
        <v>4434</v>
      </c>
      <c r="D741" t="s">
        <v>6153</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s="13" t="str">
        <f>_xlfn.XLOOKUP(Orders[[#This Row],[Customer ID]],customers!$A$1:$A$1001,customers!$I$1:$I$1001,,0)</f>
        <v>No</v>
      </c>
    </row>
    <row r="742" spans="1:16" x14ac:dyDescent="0.3">
      <c r="A742" s="2" t="s">
        <v>4670</v>
      </c>
      <c r="B742" s="3">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s="13" t="str">
        <f>_xlfn.XLOOKUP(Orders[[#This Row],[Customer ID]],customers!$A$1:$A$1001,customers!$I$1:$I$1001,,0)</f>
        <v>No</v>
      </c>
    </row>
    <row r="743" spans="1:16" x14ac:dyDescent="0.3">
      <c r="A743" s="2" t="s">
        <v>4676</v>
      </c>
      <c r="B743" s="3">
        <v>43566</v>
      </c>
      <c r="C743" s="2" t="s">
        <v>4677</v>
      </c>
      <c r="D743" t="s">
        <v>6159</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s="13" t="str">
        <f>_xlfn.XLOOKUP(Orders[[#This Row],[Customer ID]],customers!$A$1:$A$1001,customers!$I$1:$I$1001,,0)</f>
        <v>No</v>
      </c>
    </row>
    <row r="744" spans="1:16" x14ac:dyDescent="0.3">
      <c r="A744" s="2" t="s">
        <v>4682</v>
      </c>
      <c r="B744" s="3">
        <v>44133</v>
      </c>
      <c r="C744" s="2" t="s">
        <v>4683</v>
      </c>
      <c r="D744" t="s">
        <v>6162</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s="13" t="str">
        <f>_xlfn.XLOOKUP(Orders[[#This Row],[Customer ID]],customers!$A$1:$A$1001,customers!$I$1:$I$1001,,0)</f>
        <v>No</v>
      </c>
    </row>
    <row r="745" spans="1:16" x14ac:dyDescent="0.3">
      <c r="A745" s="2" t="s">
        <v>4688</v>
      </c>
      <c r="B745" s="3">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s="13" t="str">
        <f>_xlfn.XLOOKUP(Orders[[#This Row],[Customer ID]],customers!$A$1:$A$1001,customers!$I$1:$I$1001,,0)</f>
        <v>No</v>
      </c>
    </row>
    <row r="746" spans="1:16" x14ac:dyDescent="0.3">
      <c r="A746" s="2" t="s">
        <v>4694</v>
      </c>
      <c r="B746" s="3">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s="13" t="str">
        <f>_xlfn.XLOOKUP(Orders[[#This Row],[Customer ID]],customers!$A$1:$A$1001,customers!$I$1:$I$1001,,0)</f>
        <v>Yes</v>
      </c>
    </row>
    <row r="747" spans="1:16" x14ac:dyDescent="0.3">
      <c r="A747" s="2" t="s">
        <v>4699</v>
      </c>
      <c r="B747" s="3">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s="13" t="str">
        <f>_xlfn.XLOOKUP(Orders[[#This Row],[Customer ID]],customers!$A$1:$A$1001,customers!$I$1:$I$1001,,0)</f>
        <v>No</v>
      </c>
    </row>
    <row r="748" spans="1:16" x14ac:dyDescent="0.3">
      <c r="A748" s="2" t="s">
        <v>4705</v>
      </c>
      <c r="B748" s="3">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s="13" t="str">
        <f>_xlfn.XLOOKUP(Orders[[#This Row],[Customer ID]],customers!$A$1:$A$1001,customers!$I$1:$I$1001,,0)</f>
        <v>No</v>
      </c>
    </row>
    <row r="749" spans="1:16" x14ac:dyDescent="0.3">
      <c r="A749" s="2" t="s">
        <v>4711</v>
      </c>
      <c r="B749" s="3">
        <v>43501</v>
      </c>
      <c r="C749" s="2" t="s">
        <v>4712</v>
      </c>
      <c r="D749" t="s">
        <v>6160</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s="13" t="str">
        <f>_xlfn.XLOOKUP(Orders[[#This Row],[Customer ID]],customers!$A$1:$A$1001,customers!$I$1:$I$1001,,0)</f>
        <v>Yes</v>
      </c>
    </row>
    <row r="750" spans="1:16" x14ac:dyDescent="0.3">
      <c r="A750" s="2" t="s">
        <v>4717</v>
      </c>
      <c r="B750" s="3">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s="13" t="str">
        <f>_xlfn.XLOOKUP(Orders[[#This Row],[Customer ID]],customers!$A$1:$A$1001,customers!$I$1:$I$1001,,0)</f>
        <v>No</v>
      </c>
    </row>
    <row r="751" spans="1:16" x14ac:dyDescent="0.3">
      <c r="A751" s="2" t="s">
        <v>4723</v>
      </c>
      <c r="B751" s="3">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s="13" t="str">
        <f>_xlfn.XLOOKUP(Orders[[#This Row],[Customer ID]],customers!$A$1:$A$1001,customers!$I$1:$I$1001,,0)</f>
        <v>Yes</v>
      </c>
    </row>
    <row r="752" spans="1:16" x14ac:dyDescent="0.3">
      <c r="A752" s="2" t="s">
        <v>4730</v>
      </c>
      <c r="B752" s="3">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s="13" t="str">
        <f>_xlfn.XLOOKUP(Orders[[#This Row],[Customer ID]],customers!$A$1:$A$1001,customers!$I$1:$I$1001,,0)</f>
        <v>Yes</v>
      </c>
    </row>
    <row r="753" spans="1:16" x14ac:dyDescent="0.3">
      <c r="A753" s="2" t="s">
        <v>4735</v>
      </c>
      <c r="B753" s="3">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s="13" t="str">
        <f>_xlfn.XLOOKUP(Orders[[#This Row],[Customer ID]],customers!$A$1:$A$1001,customers!$I$1:$I$1001,,0)</f>
        <v>No</v>
      </c>
    </row>
    <row r="754" spans="1:16" x14ac:dyDescent="0.3">
      <c r="A754" s="2" t="s">
        <v>4741</v>
      </c>
      <c r="B754" s="3">
        <v>43648</v>
      </c>
      <c r="C754" s="2" t="s">
        <v>4742</v>
      </c>
      <c r="D754" t="s">
        <v>6141</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s="13" t="str">
        <f>_xlfn.XLOOKUP(Orders[[#This Row],[Customer ID]],customers!$A$1:$A$1001,customers!$I$1:$I$1001,,0)</f>
        <v>Yes</v>
      </c>
    </row>
    <row r="755" spans="1:16" x14ac:dyDescent="0.3">
      <c r="A755" s="2" t="s">
        <v>4747</v>
      </c>
      <c r="B755" s="3">
        <v>44704</v>
      </c>
      <c r="C755" s="2" t="s">
        <v>4748</v>
      </c>
      <c r="D755" t="s">
        <v>6158</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s="13" t="str">
        <f>_xlfn.XLOOKUP(Orders[[#This Row],[Customer ID]],customers!$A$1:$A$1001,customers!$I$1:$I$1001,,0)</f>
        <v>No</v>
      </c>
    </row>
    <row r="756" spans="1:16" x14ac:dyDescent="0.3">
      <c r="A756" s="2" t="s">
        <v>4753</v>
      </c>
      <c r="B756" s="3">
        <v>44726</v>
      </c>
      <c r="C756" s="2" t="s">
        <v>4434</v>
      </c>
      <c r="D756" t="s">
        <v>6154</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s="13" t="str">
        <f>_xlfn.XLOOKUP(Orders[[#This Row],[Customer ID]],customers!$A$1:$A$1001,customers!$I$1:$I$1001,,0)</f>
        <v>No</v>
      </c>
    </row>
    <row r="757" spans="1:16" x14ac:dyDescent="0.3">
      <c r="A757" s="2" t="s">
        <v>4758</v>
      </c>
      <c r="B757" s="3">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s="13" t="str">
        <f>_xlfn.XLOOKUP(Orders[[#This Row],[Customer ID]],customers!$A$1:$A$1001,customers!$I$1:$I$1001,,0)</f>
        <v>No</v>
      </c>
    </row>
    <row r="758" spans="1:16" x14ac:dyDescent="0.3">
      <c r="A758" s="2" t="s">
        <v>4764</v>
      </c>
      <c r="B758" s="3">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s="13" t="str">
        <f>_xlfn.XLOOKUP(Orders[[#This Row],[Customer ID]],customers!$A$1:$A$1001,customers!$I$1:$I$1001,,0)</f>
        <v>Yes</v>
      </c>
    </row>
    <row r="759" spans="1:16" x14ac:dyDescent="0.3">
      <c r="A759" s="2" t="s">
        <v>4770</v>
      </c>
      <c r="B759" s="3">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s="13" t="str">
        <f>_xlfn.XLOOKUP(Orders[[#This Row],[Customer ID]],customers!$A$1:$A$1001,customers!$I$1:$I$1001,,0)</f>
        <v>Yes</v>
      </c>
    </row>
    <row r="760" spans="1:16" x14ac:dyDescent="0.3">
      <c r="A760" s="2" t="s">
        <v>4776</v>
      </c>
      <c r="B760" s="3">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s="13" t="str">
        <f>_xlfn.XLOOKUP(Orders[[#This Row],[Customer ID]],customers!$A$1:$A$1001,customers!$I$1:$I$1001,,0)</f>
        <v>No</v>
      </c>
    </row>
    <row r="761" spans="1:16" x14ac:dyDescent="0.3">
      <c r="A761" s="2" t="s">
        <v>4781</v>
      </c>
      <c r="B761" s="3">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s="13" t="str">
        <f>_xlfn.XLOOKUP(Orders[[#This Row],[Customer ID]],customers!$A$1:$A$1001,customers!$I$1:$I$1001,,0)</f>
        <v>Yes</v>
      </c>
    </row>
    <row r="762" spans="1:16" x14ac:dyDescent="0.3">
      <c r="A762" s="2" t="s">
        <v>4787</v>
      </c>
      <c r="B762" s="3">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s="13" t="str">
        <f>_xlfn.XLOOKUP(Orders[[#This Row],[Customer ID]],customers!$A$1:$A$1001,customers!$I$1:$I$1001,,0)</f>
        <v>No</v>
      </c>
    </row>
    <row r="763" spans="1:16" x14ac:dyDescent="0.3">
      <c r="A763" s="2" t="s">
        <v>4792</v>
      </c>
      <c r="B763" s="3">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s="13" t="str">
        <f>_xlfn.XLOOKUP(Orders[[#This Row],[Customer ID]],customers!$A$1:$A$1001,customers!$I$1:$I$1001,,0)</f>
        <v>Yes</v>
      </c>
    </row>
    <row r="764" spans="1:16" x14ac:dyDescent="0.3">
      <c r="A764" s="2" t="s">
        <v>4797</v>
      </c>
      <c r="B764" s="3">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s="13" t="str">
        <f>_xlfn.XLOOKUP(Orders[[#This Row],[Customer ID]],customers!$A$1:$A$1001,customers!$I$1:$I$1001,,0)</f>
        <v>No</v>
      </c>
    </row>
    <row r="765" spans="1:16" x14ac:dyDescent="0.3">
      <c r="A765" s="2" t="s">
        <v>4803</v>
      </c>
      <c r="B765" s="3">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s="13" t="str">
        <f>_xlfn.XLOOKUP(Orders[[#This Row],[Customer ID]],customers!$A$1:$A$1001,customers!$I$1:$I$1001,,0)</f>
        <v>No</v>
      </c>
    </row>
    <row r="766" spans="1:16" x14ac:dyDescent="0.3">
      <c r="A766" s="2" t="s">
        <v>4808</v>
      </c>
      <c r="B766" s="3">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s="13" t="str">
        <f>_xlfn.XLOOKUP(Orders[[#This Row],[Customer ID]],customers!$A$1:$A$1001,customers!$I$1:$I$1001,,0)</f>
        <v>Yes</v>
      </c>
    </row>
    <row r="767" spans="1:16" x14ac:dyDescent="0.3">
      <c r="A767" s="2" t="s">
        <v>4814</v>
      </c>
      <c r="B767" s="3">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s="13" t="str">
        <f>_xlfn.XLOOKUP(Orders[[#This Row],[Customer ID]],customers!$A$1:$A$1001,customers!$I$1:$I$1001,,0)</f>
        <v>Yes</v>
      </c>
    </row>
    <row r="768" spans="1:16" x14ac:dyDescent="0.3">
      <c r="A768" s="2" t="s">
        <v>4814</v>
      </c>
      <c r="B768" s="3">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s="13" t="str">
        <f>_xlfn.XLOOKUP(Orders[[#This Row],[Customer ID]],customers!$A$1:$A$1001,customers!$I$1:$I$1001,,0)</f>
        <v>Yes</v>
      </c>
    </row>
    <row r="769" spans="1:16" x14ac:dyDescent="0.3">
      <c r="A769" s="2" t="s">
        <v>4825</v>
      </c>
      <c r="B769" s="3">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s="13" t="str">
        <f>_xlfn.XLOOKUP(Orders[[#This Row],[Customer ID]],customers!$A$1:$A$1001,customers!$I$1:$I$1001,,0)</f>
        <v>No</v>
      </c>
    </row>
    <row r="770" spans="1:16" x14ac:dyDescent="0.3">
      <c r="A770" s="2" t="s">
        <v>4831</v>
      </c>
      <c r="B770" s="3">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s="13" t="str">
        <f>_xlfn.XLOOKUP(Orders[[#This Row],[Customer ID]],customers!$A$1:$A$1001,customers!$I$1:$I$1001,,0)</f>
        <v>No</v>
      </c>
    </row>
    <row r="771" spans="1:16" x14ac:dyDescent="0.3">
      <c r="A771" s="2" t="s">
        <v>4836</v>
      </c>
      <c r="B771" s="3">
        <v>43912</v>
      </c>
      <c r="C771" s="2" t="s">
        <v>4837</v>
      </c>
      <c r="D771" t="s">
        <v>6151</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s="13" t="str">
        <f>_xlfn.XLOOKUP(Orders[[#This Row],[Customer ID]],customers!$A$1:$A$1001,customers!$I$1:$I$1001,,0)</f>
        <v>No</v>
      </c>
    </row>
    <row r="772" spans="1:16" x14ac:dyDescent="0.3">
      <c r="A772" s="2" t="s">
        <v>4842</v>
      </c>
      <c r="B772" s="3">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s="13" t="str">
        <f>_xlfn.XLOOKUP(Orders[[#This Row],[Customer ID]],customers!$A$1:$A$1001,customers!$I$1:$I$1001,,0)</f>
        <v>No</v>
      </c>
    </row>
    <row r="773" spans="1:16" x14ac:dyDescent="0.3">
      <c r="A773" s="2" t="s">
        <v>4847</v>
      </c>
      <c r="B773" s="3">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s="13" t="str">
        <f>_xlfn.XLOOKUP(Orders[[#This Row],[Customer ID]],customers!$A$1:$A$1001,customers!$I$1:$I$1001,,0)</f>
        <v>No</v>
      </c>
    </row>
    <row r="774" spans="1:16" x14ac:dyDescent="0.3">
      <c r="A774" s="2" t="s">
        <v>4853</v>
      </c>
      <c r="B774" s="3">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s="13" t="str">
        <f>_xlfn.XLOOKUP(Orders[[#This Row],[Customer ID]],customers!$A$1:$A$1001,customers!$I$1:$I$1001,,0)</f>
        <v>No</v>
      </c>
    </row>
    <row r="775" spans="1:16" x14ac:dyDescent="0.3">
      <c r="A775" s="2" t="s">
        <v>4858</v>
      </c>
      <c r="B775" s="3">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s="13" t="str">
        <f>_xlfn.XLOOKUP(Orders[[#This Row],[Customer ID]],customers!$A$1:$A$1001,customers!$I$1:$I$1001,,0)</f>
        <v>No</v>
      </c>
    </row>
    <row r="776" spans="1:16" x14ac:dyDescent="0.3">
      <c r="A776" s="2" t="s">
        <v>4864</v>
      </c>
      <c r="B776" s="3">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s="13" t="str">
        <f>_xlfn.XLOOKUP(Orders[[#This Row],[Customer ID]],customers!$A$1:$A$1001,customers!$I$1:$I$1001,,0)</f>
        <v>Yes</v>
      </c>
    </row>
    <row r="777" spans="1:16" x14ac:dyDescent="0.3">
      <c r="A777" s="2" t="s">
        <v>4869</v>
      </c>
      <c r="B777" s="3">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s="13" t="str">
        <f>_xlfn.XLOOKUP(Orders[[#This Row],[Customer ID]],customers!$A$1:$A$1001,customers!$I$1:$I$1001,,0)</f>
        <v>Yes</v>
      </c>
    </row>
    <row r="778" spans="1:16" x14ac:dyDescent="0.3">
      <c r="A778" s="2" t="s">
        <v>4875</v>
      </c>
      <c r="B778" s="3">
        <v>44540</v>
      </c>
      <c r="C778" s="2" t="s">
        <v>4876</v>
      </c>
      <c r="D778" t="s">
        <v>6157</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s="13" t="str">
        <f>_xlfn.XLOOKUP(Orders[[#This Row],[Customer ID]],customers!$A$1:$A$1001,customers!$I$1:$I$1001,,0)</f>
        <v>No</v>
      </c>
    </row>
    <row r="779" spans="1:16" x14ac:dyDescent="0.3">
      <c r="A779" s="2" t="s">
        <v>4881</v>
      </c>
      <c r="B779" s="3">
        <v>43541</v>
      </c>
      <c r="C779" s="2" t="s">
        <v>4882</v>
      </c>
      <c r="D779" t="s">
        <v>6182</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s="13" t="str">
        <f>_xlfn.XLOOKUP(Orders[[#This Row],[Customer ID]],customers!$A$1:$A$1001,customers!$I$1:$I$1001,,0)</f>
        <v>No</v>
      </c>
    </row>
    <row r="780" spans="1:16" x14ac:dyDescent="0.3">
      <c r="A780" s="2" t="s">
        <v>4886</v>
      </c>
      <c r="B780" s="3">
        <v>43889</v>
      </c>
      <c r="C780" s="2" t="s">
        <v>4933</v>
      </c>
      <c r="D780" t="s">
        <v>6161</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s="13" t="str">
        <f>_xlfn.XLOOKUP(Orders[[#This Row],[Customer ID]],customers!$A$1:$A$1001,customers!$I$1:$I$1001,,0)</f>
        <v>Yes</v>
      </c>
    </row>
    <row r="781" spans="1:16" x14ac:dyDescent="0.3">
      <c r="A781" s="2" t="s">
        <v>4892</v>
      </c>
      <c r="B781" s="3">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s="13" t="str">
        <f>_xlfn.XLOOKUP(Orders[[#This Row],[Customer ID]],customers!$A$1:$A$1001,customers!$I$1:$I$1001,,0)</f>
        <v>Yes</v>
      </c>
    </row>
    <row r="782" spans="1:16" x14ac:dyDescent="0.3">
      <c r="A782" s="2" t="s">
        <v>4898</v>
      </c>
      <c r="B782" s="3">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s="13" t="str">
        <f>_xlfn.XLOOKUP(Orders[[#This Row],[Customer ID]],customers!$A$1:$A$1001,customers!$I$1:$I$1001,,0)</f>
        <v>No</v>
      </c>
    </row>
    <row r="783" spans="1:16" x14ac:dyDescent="0.3">
      <c r="A783" s="2" t="s">
        <v>4903</v>
      </c>
      <c r="B783" s="3">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s="13" t="str">
        <f>_xlfn.XLOOKUP(Orders[[#This Row],[Customer ID]],customers!$A$1:$A$1001,customers!$I$1:$I$1001,,0)</f>
        <v>No</v>
      </c>
    </row>
    <row r="784" spans="1:16" x14ac:dyDescent="0.3">
      <c r="A784" s="2" t="s">
        <v>4909</v>
      </c>
      <c r="B784" s="3">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s="13" t="str">
        <f>_xlfn.XLOOKUP(Orders[[#This Row],[Customer ID]],customers!$A$1:$A$1001,customers!$I$1:$I$1001,,0)</f>
        <v>No</v>
      </c>
    </row>
    <row r="785" spans="1:16" x14ac:dyDescent="0.3">
      <c r="A785" s="2" t="s">
        <v>4915</v>
      </c>
      <c r="B785" s="3">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s="13" t="str">
        <f>_xlfn.XLOOKUP(Orders[[#This Row],[Customer ID]],customers!$A$1:$A$1001,customers!$I$1:$I$1001,,0)</f>
        <v>Yes</v>
      </c>
    </row>
    <row r="786" spans="1:16" x14ac:dyDescent="0.3">
      <c r="A786" s="2" t="s">
        <v>4921</v>
      </c>
      <c r="B786" s="3">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s="13" t="str">
        <f>_xlfn.XLOOKUP(Orders[[#This Row],[Customer ID]],customers!$A$1:$A$1001,customers!$I$1:$I$1001,,0)</f>
        <v>No</v>
      </c>
    </row>
    <row r="787" spans="1:16" x14ac:dyDescent="0.3">
      <c r="A787" s="2" t="s">
        <v>4926</v>
      </c>
      <c r="B787" s="3">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s="13" t="str">
        <f>_xlfn.XLOOKUP(Orders[[#This Row],[Customer ID]],customers!$A$1:$A$1001,customers!$I$1:$I$1001,,0)</f>
        <v>No</v>
      </c>
    </row>
    <row r="788" spans="1:16" x14ac:dyDescent="0.3">
      <c r="A788" s="2" t="s">
        <v>4932</v>
      </c>
      <c r="B788" s="3">
        <v>43888</v>
      </c>
      <c r="C788" s="2" t="s">
        <v>4933</v>
      </c>
      <c r="D788" t="s">
        <v>6185</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s="13" t="str">
        <f>_xlfn.XLOOKUP(Orders[[#This Row],[Customer ID]],customers!$A$1:$A$1001,customers!$I$1:$I$1001,,0)</f>
        <v>Yes</v>
      </c>
    </row>
    <row r="789" spans="1:16" x14ac:dyDescent="0.3">
      <c r="A789" s="2" t="s">
        <v>4938</v>
      </c>
      <c r="B789" s="3">
        <v>44305</v>
      </c>
      <c r="C789" s="2" t="s">
        <v>4939</v>
      </c>
      <c r="D789" t="s">
        <v>6141</v>
      </c>
      <c r="E789" s="2">
        <v>6</v>
      </c>
      <c r="F789" s="2" t="str">
        <f>_xlfn.XLOOKUP(orders!C789,customers!$A$1:$A$1001,customers!$B$1:$B$1001,,0)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s="13" t="str">
        <f>_xlfn.XLOOKUP(Orders[[#This Row],[Customer ID]],customers!$A$1:$A$1001,customers!$I$1:$I$1001,,0)</f>
        <v>Yes</v>
      </c>
    </row>
    <row r="790" spans="1:16" x14ac:dyDescent="0.3">
      <c r="A790" s="2" t="s">
        <v>4943</v>
      </c>
      <c r="B790" s="3">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s="13" t="str">
        <f>_xlfn.XLOOKUP(Orders[[#This Row],[Customer ID]],customers!$A$1:$A$1001,customers!$I$1:$I$1001,,0)</f>
        <v>Yes</v>
      </c>
    </row>
    <row r="791" spans="1:16" x14ac:dyDescent="0.3">
      <c r="A791" s="2" t="s">
        <v>4949</v>
      </c>
      <c r="B791" s="3">
        <v>43485</v>
      </c>
      <c r="C791" s="2" t="s">
        <v>4950</v>
      </c>
      <c r="D791" t="s">
        <v>6140</v>
      </c>
      <c r="E791" s="2">
        <v>6</v>
      </c>
      <c r="F791" s="2" t="str">
        <f>_xlfn.XLOOKUP(orders!C791,customers!$A$1:$A$1001,customers!$B$1:$B$1001,,0)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s="13" t="str">
        <f>_xlfn.XLOOKUP(Orders[[#This Row],[Customer ID]],customers!$A$1:$A$1001,customers!$I$1:$I$1001,,0)</f>
        <v>No</v>
      </c>
    </row>
    <row r="792" spans="1:16" x14ac:dyDescent="0.3">
      <c r="A792" s="2" t="s">
        <v>4955</v>
      </c>
      <c r="B792" s="3">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s="13" t="str">
        <f>_xlfn.XLOOKUP(Orders[[#This Row],[Customer ID]],customers!$A$1:$A$1001,customers!$I$1:$I$1001,,0)</f>
        <v>No</v>
      </c>
    </row>
    <row r="793" spans="1:16" x14ac:dyDescent="0.3">
      <c r="A793" s="2" t="s">
        <v>4961</v>
      </c>
      <c r="B793" s="3">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s="13" t="str">
        <f>_xlfn.XLOOKUP(Orders[[#This Row],[Customer ID]],customers!$A$1:$A$1001,customers!$I$1:$I$1001,,0)</f>
        <v>Yes</v>
      </c>
    </row>
    <row r="794" spans="1:16" x14ac:dyDescent="0.3">
      <c r="A794" s="2" t="s">
        <v>4967</v>
      </c>
      <c r="B794" s="3">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s="13" t="str">
        <f>_xlfn.XLOOKUP(Orders[[#This Row],[Customer ID]],customers!$A$1:$A$1001,customers!$I$1:$I$1001,,0)</f>
        <v>Yes</v>
      </c>
    </row>
    <row r="795" spans="1:16" x14ac:dyDescent="0.3">
      <c r="A795" s="2" t="s">
        <v>4973</v>
      </c>
      <c r="B795" s="3">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s="13" t="str">
        <f>_xlfn.XLOOKUP(Orders[[#This Row],[Customer ID]],customers!$A$1:$A$1001,customers!$I$1:$I$1001,,0)</f>
        <v>No</v>
      </c>
    </row>
    <row r="796" spans="1:16" x14ac:dyDescent="0.3">
      <c r="A796" s="2" t="s">
        <v>4979</v>
      </c>
      <c r="B796" s="3">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s="13" t="str">
        <f>_xlfn.XLOOKUP(Orders[[#This Row],[Customer ID]],customers!$A$1:$A$1001,customers!$I$1:$I$1001,,0)</f>
        <v>No</v>
      </c>
    </row>
    <row r="797" spans="1:16" x14ac:dyDescent="0.3">
      <c r="A797" s="2" t="s">
        <v>4985</v>
      </c>
      <c r="B797" s="3">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s="13" t="str">
        <f>_xlfn.XLOOKUP(Orders[[#This Row],[Customer ID]],customers!$A$1:$A$1001,customers!$I$1:$I$1001,,0)</f>
        <v>No</v>
      </c>
    </row>
    <row r="798" spans="1:16" x14ac:dyDescent="0.3">
      <c r="A798" s="2" t="s">
        <v>4991</v>
      </c>
      <c r="B798" s="3">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s="13" t="str">
        <f>_xlfn.XLOOKUP(Orders[[#This Row],[Customer ID]],customers!$A$1:$A$1001,customers!$I$1:$I$1001,,0)</f>
        <v>No</v>
      </c>
    </row>
    <row r="799" spans="1:16" x14ac:dyDescent="0.3">
      <c r="A799" s="2" t="s">
        <v>4996</v>
      </c>
      <c r="B799" s="3">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s="13" t="str">
        <f>_xlfn.XLOOKUP(Orders[[#This Row],[Customer ID]],customers!$A$1:$A$1001,customers!$I$1:$I$1001,,0)</f>
        <v>No</v>
      </c>
    </row>
    <row r="800" spans="1:16" x14ac:dyDescent="0.3">
      <c r="A800" s="2" t="s">
        <v>5002</v>
      </c>
      <c r="B800" s="3">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s="13" t="str">
        <f>_xlfn.XLOOKUP(Orders[[#This Row],[Customer ID]],customers!$A$1:$A$1001,customers!$I$1:$I$1001,,0)</f>
        <v>Yes</v>
      </c>
    </row>
    <row r="801" spans="1:16" x14ac:dyDescent="0.3">
      <c r="A801" s="2" t="s">
        <v>5008</v>
      </c>
      <c r="B801" s="3">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s="13" t="str">
        <f>_xlfn.XLOOKUP(Orders[[#This Row],[Customer ID]],customers!$A$1:$A$1001,customers!$I$1:$I$1001,,0)</f>
        <v>Yes</v>
      </c>
    </row>
    <row r="802" spans="1:16" x14ac:dyDescent="0.3">
      <c r="A802" s="2" t="s">
        <v>5012</v>
      </c>
      <c r="B802" s="3">
        <v>44240</v>
      </c>
      <c r="C802" s="2" t="s">
        <v>5013</v>
      </c>
      <c r="D802" t="s">
        <v>6163</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s="13" t="str">
        <f>_xlfn.XLOOKUP(Orders[[#This Row],[Customer ID]],customers!$A$1:$A$1001,customers!$I$1:$I$1001,,0)</f>
        <v>No</v>
      </c>
    </row>
    <row r="803" spans="1:16" x14ac:dyDescent="0.3">
      <c r="A803" s="2" t="s">
        <v>5018</v>
      </c>
      <c r="B803" s="3">
        <v>44025</v>
      </c>
      <c r="C803" s="2" t="s">
        <v>5019</v>
      </c>
      <c r="D803" t="s">
        <v>6149</v>
      </c>
      <c r="E803" s="2">
        <v>2</v>
      </c>
      <c r="F803" s="2" t="str">
        <f>_xlfn.XLOOKUP(orders!C803,customers!$A$1:$A$1001,customers!$B$1:$B$1001,,0)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s="13" t="str">
        <f>_xlfn.XLOOKUP(Orders[[#This Row],[Customer ID]],customers!$A$1:$A$1001,customers!$I$1:$I$1001,,0)</f>
        <v>Yes</v>
      </c>
    </row>
    <row r="804" spans="1:16" x14ac:dyDescent="0.3">
      <c r="A804" s="2" t="s">
        <v>5024</v>
      </c>
      <c r="B804" s="3">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s="13" t="str">
        <f>_xlfn.XLOOKUP(Orders[[#This Row],[Customer ID]],customers!$A$1:$A$1001,customers!$I$1:$I$1001,,0)</f>
        <v>No</v>
      </c>
    </row>
    <row r="805" spans="1:16" x14ac:dyDescent="0.3">
      <c r="A805" s="2" t="s">
        <v>5030</v>
      </c>
      <c r="B805" s="3">
        <v>43955</v>
      </c>
      <c r="C805" s="2" t="s">
        <v>5031</v>
      </c>
      <c r="D805" t="s">
        <v>6166</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s="13" t="str">
        <f>_xlfn.XLOOKUP(Orders[[#This Row],[Customer ID]],customers!$A$1:$A$1001,customers!$I$1:$I$1001,,0)</f>
        <v>No</v>
      </c>
    </row>
    <row r="806" spans="1:16" x14ac:dyDescent="0.3">
      <c r="A806" s="2" t="s">
        <v>5035</v>
      </c>
      <c r="B806" s="3">
        <v>44289</v>
      </c>
      <c r="C806" s="2" t="s">
        <v>5036</v>
      </c>
      <c r="D806" t="s">
        <v>6179</v>
      </c>
      <c r="E806" s="2">
        <v>2</v>
      </c>
      <c r="F806" s="2" t="str">
        <f>_xlfn.XLOOKUP(orders!C806,customers!$A$1:$A$1001,customers!$B$1:$B$1001,,0)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s="13" t="str">
        <f>_xlfn.XLOOKUP(Orders[[#This Row],[Customer ID]],customers!$A$1:$A$1001,customers!$I$1:$I$1001,,0)</f>
        <v>No</v>
      </c>
    </row>
    <row r="807" spans="1:16" x14ac:dyDescent="0.3">
      <c r="A807" s="2" t="s">
        <v>5040</v>
      </c>
      <c r="B807" s="3">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s="13" t="str">
        <f>_xlfn.XLOOKUP(Orders[[#This Row],[Customer ID]],customers!$A$1:$A$1001,customers!$I$1:$I$1001,,0)</f>
        <v>No</v>
      </c>
    </row>
    <row r="808" spans="1:16" x14ac:dyDescent="0.3">
      <c r="A808" s="2" t="s">
        <v>5046</v>
      </c>
      <c r="B808" s="3">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s="13" t="str">
        <f>_xlfn.XLOOKUP(Orders[[#This Row],[Customer ID]],customers!$A$1:$A$1001,customers!$I$1:$I$1001,,0)</f>
        <v>Yes</v>
      </c>
    </row>
    <row r="809" spans="1:16" x14ac:dyDescent="0.3">
      <c r="A809" s="2" t="s">
        <v>5050</v>
      </c>
      <c r="B809" s="3">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s="13" t="str">
        <f>_xlfn.XLOOKUP(Orders[[#This Row],[Customer ID]],customers!$A$1:$A$1001,customers!$I$1:$I$1001,,0)</f>
        <v>No</v>
      </c>
    </row>
    <row r="810" spans="1:16" x14ac:dyDescent="0.3">
      <c r="A810" s="2" t="s">
        <v>5056</v>
      </c>
      <c r="B810" s="3">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s="13" t="str">
        <f>_xlfn.XLOOKUP(Orders[[#This Row],[Customer ID]],customers!$A$1:$A$1001,customers!$I$1:$I$1001,,0)</f>
        <v>No</v>
      </c>
    </row>
    <row r="811" spans="1:16" x14ac:dyDescent="0.3">
      <c r="A811" s="2" t="s">
        <v>5062</v>
      </c>
      <c r="B811" s="3">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s="13" t="str">
        <f>_xlfn.XLOOKUP(Orders[[#This Row],[Customer ID]],customers!$A$1:$A$1001,customers!$I$1:$I$1001,,0)</f>
        <v>Yes</v>
      </c>
    </row>
    <row r="812" spans="1:16" x14ac:dyDescent="0.3">
      <c r="A812" s="2" t="s">
        <v>5067</v>
      </c>
      <c r="B812" s="3">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s="13" t="str">
        <f>_xlfn.XLOOKUP(Orders[[#This Row],[Customer ID]],customers!$A$1:$A$1001,customers!$I$1:$I$1001,,0)</f>
        <v>No</v>
      </c>
    </row>
    <row r="813" spans="1:16" x14ac:dyDescent="0.3">
      <c r="A813" s="2" t="s">
        <v>5073</v>
      </c>
      <c r="B813" s="3">
        <v>44114</v>
      </c>
      <c r="C813" s="2" t="s">
        <v>5074</v>
      </c>
      <c r="D813" t="s">
        <v>6155</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s="13" t="str">
        <f>_xlfn.XLOOKUP(Orders[[#This Row],[Customer ID]],customers!$A$1:$A$1001,customers!$I$1:$I$1001,,0)</f>
        <v>Yes</v>
      </c>
    </row>
    <row r="814" spans="1:16" x14ac:dyDescent="0.3">
      <c r="A814" s="2" t="s">
        <v>5073</v>
      </c>
      <c r="B814" s="3">
        <v>44114</v>
      </c>
      <c r="C814" s="2" t="s">
        <v>5074</v>
      </c>
      <c r="D814" t="s">
        <v>6165</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s="13" t="str">
        <f>_xlfn.XLOOKUP(Orders[[#This Row],[Customer ID]],customers!$A$1:$A$1001,customers!$I$1:$I$1001,,0)</f>
        <v>Yes</v>
      </c>
    </row>
    <row r="815" spans="1:16" x14ac:dyDescent="0.3">
      <c r="A815" s="2" t="s">
        <v>5084</v>
      </c>
      <c r="B815" s="3">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s="13" t="str">
        <f>_xlfn.XLOOKUP(Orders[[#This Row],[Customer ID]],customers!$A$1:$A$1001,customers!$I$1:$I$1001,,0)</f>
        <v>Yes</v>
      </c>
    </row>
    <row r="816" spans="1:16" x14ac:dyDescent="0.3">
      <c r="A816" s="2" t="s">
        <v>5090</v>
      </c>
      <c r="B816" s="3">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s="13" t="str">
        <f>_xlfn.XLOOKUP(Orders[[#This Row],[Customer ID]],customers!$A$1:$A$1001,customers!$I$1:$I$1001,,0)</f>
        <v>No</v>
      </c>
    </row>
    <row r="817" spans="1:16" x14ac:dyDescent="0.3">
      <c r="A817" s="2" t="s">
        <v>5096</v>
      </c>
      <c r="B817" s="3">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s="13" t="str">
        <f>_xlfn.XLOOKUP(Orders[[#This Row],[Customer ID]],customers!$A$1:$A$1001,customers!$I$1:$I$1001,,0)</f>
        <v>No</v>
      </c>
    </row>
    <row r="818" spans="1:16" x14ac:dyDescent="0.3">
      <c r="A818" s="2" t="s">
        <v>5102</v>
      </c>
      <c r="B818" s="3">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s="13" t="str">
        <f>_xlfn.XLOOKUP(Orders[[#This Row],[Customer ID]],customers!$A$1:$A$1001,customers!$I$1:$I$1001,,0)</f>
        <v>No</v>
      </c>
    </row>
    <row r="819" spans="1:16" x14ac:dyDescent="0.3">
      <c r="A819" s="2" t="s">
        <v>5107</v>
      </c>
      <c r="B819" s="3">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s="13" t="str">
        <f>_xlfn.XLOOKUP(Orders[[#This Row],[Customer ID]],customers!$A$1:$A$1001,customers!$I$1:$I$1001,,0)</f>
        <v>No</v>
      </c>
    </row>
    <row r="820" spans="1:16" x14ac:dyDescent="0.3">
      <c r="A820" s="2" t="s">
        <v>5112</v>
      </c>
      <c r="B820" s="3">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s="13" t="str">
        <f>_xlfn.XLOOKUP(Orders[[#This Row],[Customer ID]],customers!$A$1:$A$1001,customers!$I$1:$I$1001,,0)</f>
        <v>No</v>
      </c>
    </row>
    <row r="821" spans="1:16" x14ac:dyDescent="0.3">
      <c r="A821" s="2" t="s">
        <v>5117</v>
      </c>
      <c r="B821" s="3">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s="13" t="str">
        <f>_xlfn.XLOOKUP(Orders[[#This Row],[Customer ID]],customers!$A$1:$A$1001,customers!$I$1:$I$1001,,0)</f>
        <v>Yes</v>
      </c>
    </row>
    <row r="822" spans="1:16" x14ac:dyDescent="0.3">
      <c r="A822" s="2" t="s">
        <v>5123</v>
      </c>
      <c r="B822" s="3">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s="13" t="str">
        <f>_xlfn.XLOOKUP(Orders[[#This Row],[Customer ID]],customers!$A$1:$A$1001,customers!$I$1:$I$1001,,0)</f>
        <v>Yes</v>
      </c>
    </row>
    <row r="823" spans="1:16" x14ac:dyDescent="0.3">
      <c r="A823" s="2" t="s">
        <v>5129</v>
      </c>
      <c r="B823" s="3">
        <v>44144</v>
      </c>
      <c r="C823" s="2" t="s">
        <v>5130</v>
      </c>
      <c r="D823" t="s">
        <v>6172</v>
      </c>
      <c r="E823" s="2">
        <v>5</v>
      </c>
      <c r="F823" s="2" t="str">
        <f>_xlfn.XLOOKUP(orders!C823,customers!$A$1:$A$1001,customers!$B$1:$B$1001,,0)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s="13" t="str">
        <f>_xlfn.XLOOKUP(Orders[[#This Row],[Customer ID]],customers!$A$1:$A$1001,customers!$I$1:$I$1001,,0)</f>
        <v>No</v>
      </c>
    </row>
    <row r="824" spans="1:16" x14ac:dyDescent="0.3">
      <c r="A824" s="2" t="s">
        <v>5135</v>
      </c>
      <c r="B824" s="3">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s="13" t="str">
        <f>_xlfn.XLOOKUP(Orders[[#This Row],[Customer ID]],customers!$A$1:$A$1001,customers!$I$1:$I$1001,,0)</f>
        <v>No</v>
      </c>
    </row>
    <row r="825" spans="1:16" x14ac:dyDescent="0.3">
      <c r="A825" s="2" t="s">
        <v>5141</v>
      </c>
      <c r="B825" s="3">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s="13" t="str">
        <f>_xlfn.XLOOKUP(Orders[[#This Row],[Customer ID]],customers!$A$1:$A$1001,customers!$I$1:$I$1001,,0)</f>
        <v>Yes</v>
      </c>
    </row>
    <row r="826" spans="1:16" x14ac:dyDescent="0.3">
      <c r="A826" s="2" t="s">
        <v>5147</v>
      </c>
      <c r="B826" s="3">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s="13" t="str">
        <f>_xlfn.XLOOKUP(Orders[[#This Row],[Customer ID]],customers!$A$1:$A$1001,customers!$I$1:$I$1001,,0)</f>
        <v>Yes</v>
      </c>
    </row>
    <row r="827" spans="1:16" x14ac:dyDescent="0.3">
      <c r="A827" s="2" t="s">
        <v>5152</v>
      </c>
      <c r="B827" s="3">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s="13" t="str">
        <f>_xlfn.XLOOKUP(Orders[[#This Row],[Customer ID]],customers!$A$1:$A$1001,customers!$I$1:$I$1001,,0)</f>
        <v>Yes</v>
      </c>
    </row>
    <row r="828" spans="1:16" x14ac:dyDescent="0.3">
      <c r="A828" s="2" t="s">
        <v>5158</v>
      </c>
      <c r="B828" s="3">
        <v>44283</v>
      </c>
      <c r="C828" s="2" t="s">
        <v>5159</v>
      </c>
      <c r="D828" t="s">
        <v>6139</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s="13" t="str">
        <f>_xlfn.XLOOKUP(Orders[[#This Row],[Customer ID]],customers!$A$1:$A$1001,customers!$I$1:$I$1001,,0)</f>
        <v>Yes</v>
      </c>
    </row>
    <row r="829" spans="1:16" x14ac:dyDescent="0.3">
      <c r="A829" s="2" t="s">
        <v>5164</v>
      </c>
      <c r="B829" s="3">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s="13" t="str">
        <f>_xlfn.XLOOKUP(Orders[[#This Row],[Customer ID]],customers!$A$1:$A$1001,customers!$I$1:$I$1001,,0)</f>
        <v>No</v>
      </c>
    </row>
    <row r="830" spans="1:16" x14ac:dyDescent="0.3">
      <c r="A830" s="2" t="s">
        <v>5170</v>
      </c>
      <c r="B830" s="3">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s="13" t="str">
        <f>_xlfn.XLOOKUP(Orders[[#This Row],[Customer ID]],customers!$A$1:$A$1001,customers!$I$1:$I$1001,,0)</f>
        <v>Yes</v>
      </c>
    </row>
    <row r="831" spans="1:16" x14ac:dyDescent="0.3">
      <c r="A831" s="2" t="s">
        <v>5176</v>
      </c>
      <c r="B831" s="3">
        <v>43890</v>
      </c>
      <c r="C831" s="2" t="s">
        <v>5177</v>
      </c>
      <c r="D831" t="s">
        <v>6154</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s="13" t="str">
        <f>_xlfn.XLOOKUP(Orders[[#This Row],[Customer ID]],customers!$A$1:$A$1001,customers!$I$1:$I$1001,,0)</f>
        <v>No</v>
      </c>
    </row>
    <row r="832" spans="1:16" x14ac:dyDescent="0.3">
      <c r="A832" s="2" t="s">
        <v>5182</v>
      </c>
      <c r="B832" s="3">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s="13" t="str">
        <f>_xlfn.XLOOKUP(Orders[[#This Row],[Customer ID]],customers!$A$1:$A$1001,customers!$I$1:$I$1001,,0)</f>
        <v>No</v>
      </c>
    </row>
    <row r="833" spans="1:16" x14ac:dyDescent="0.3">
      <c r="A833" s="2" t="s">
        <v>5182</v>
      </c>
      <c r="B833" s="3">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s="13" t="str">
        <f>_xlfn.XLOOKUP(Orders[[#This Row],[Customer ID]],customers!$A$1:$A$1001,customers!$I$1:$I$1001,,0)</f>
        <v>No</v>
      </c>
    </row>
    <row r="834" spans="1:16" x14ac:dyDescent="0.3">
      <c r="A834" s="2" t="s">
        <v>5193</v>
      </c>
      <c r="B834" s="3">
        <v>44274</v>
      </c>
      <c r="C834" s="2" t="s">
        <v>5194</v>
      </c>
      <c r="D834" t="s">
        <v>6138</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s="13" t="str">
        <f>_xlfn.XLOOKUP(Orders[[#This Row],[Customer ID]],customers!$A$1:$A$1001,customers!$I$1:$I$1001,,0)</f>
        <v>No</v>
      </c>
    </row>
    <row r="835" spans="1:16" x14ac:dyDescent="0.3">
      <c r="A835" s="2" t="s">
        <v>5199</v>
      </c>
      <c r="B835" s="3">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s="13" t="str">
        <f>_xlfn.XLOOKUP(Orders[[#This Row],[Customer ID]],customers!$A$1:$A$1001,customers!$I$1:$I$1001,,0)</f>
        <v>Yes</v>
      </c>
    </row>
    <row r="836" spans="1:16" x14ac:dyDescent="0.3">
      <c r="A836" s="2" t="s">
        <v>5205</v>
      </c>
      <c r="B836" s="3">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s="13" t="str">
        <f>_xlfn.XLOOKUP(Orders[[#This Row],[Customer ID]],customers!$A$1:$A$1001,customers!$I$1:$I$1001,,0)</f>
        <v>No</v>
      </c>
    </row>
    <row r="837" spans="1:16" x14ac:dyDescent="0.3">
      <c r="A837" s="2" t="s">
        <v>5211</v>
      </c>
      <c r="B837" s="3">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s="13" t="str">
        <f>_xlfn.XLOOKUP(Orders[[#This Row],[Customer ID]],customers!$A$1:$A$1001,customers!$I$1:$I$1001,,0)</f>
        <v>Yes</v>
      </c>
    </row>
    <row r="838" spans="1:16" x14ac:dyDescent="0.3">
      <c r="A838" s="2" t="s">
        <v>5216</v>
      </c>
      <c r="B838" s="3">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s="13" t="str">
        <f>_xlfn.XLOOKUP(Orders[[#This Row],[Customer ID]],customers!$A$1:$A$1001,customers!$I$1:$I$1001,,0)</f>
        <v>No</v>
      </c>
    </row>
    <row r="839" spans="1:16" x14ac:dyDescent="0.3">
      <c r="A839" s="2" t="s">
        <v>5222</v>
      </c>
      <c r="B839" s="3">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s="13" t="str">
        <f>_xlfn.XLOOKUP(Orders[[#This Row],[Customer ID]],customers!$A$1:$A$1001,customers!$I$1:$I$1001,,0)</f>
        <v>No</v>
      </c>
    </row>
    <row r="840" spans="1:16" x14ac:dyDescent="0.3">
      <c r="A840" s="2" t="s">
        <v>5228</v>
      </c>
      <c r="B840" s="3">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s="13" t="str">
        <f>_xlfn.XLOOKUP(Orders[[#This Row],[Customer ID]],customers!$A$1:$A$1001,customers!$I$1:$I$1001,,0)</f>
        <v>No</v>
      </c>
    </row>
    <row r="841" spans="1:16" x14ac:dyDescent="0.3">
      <c r="A841" s="2" t="s">
        <v>5234</v>
      </c>
      <c r="B841" s="3">
        <v>44521</v>
      </c>
      <c r="C841" s="2" t="s">
        <v>5235</v>
      </c>
      <c r="D841" t="s">
        <v>6139</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s="13" t="str">
        <f>_xlfn.XLOOKUP(Orders[[#This Row],[Customer ID]],customers!$A$1:$A$1001,customers!$I$1:$I$1001,,0)</f>
        <v>No</v>
      </c>
    </row>
    <row r="842" spans="1:16" x14ac:dyDescent="0.3">
      <c r="A842" s="2" t="s">
        <v>5240</v>
      </c>
      <c r="B842" s="3">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s="13" t="str">
        <f>_xlfn.XLOOKUP(Orders[[#This Row],[Customer ID]],customers!$A$1:$A$1001,customers!$I$1:$I$1001,,0)</f>
        <v>Yes</v>
      </c>
    </row>
    <row r="843" spans="1:16" x14ac:dyDescent="0.3">
      <c r="A843" s="2" t="s">
        <v>5246</v>
      </c>
      <c r="B843" s="3">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s="13" t="str">
        <f>_xlfn.XLOOKUP(Orders[[#This Row],[Customer ID]],customers!$A$1:$A$1001,customers!$I$1:$I$1001,,0)</f>
        <v>No</v>
      </c>
    </row>
    <row r="844" spans="1:16" x14ac:dyDescent="0.3">
      <c r="A844" s="2" t="s">
        <v>5251</v>
      </c>
      <c r="B844" s="3">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s="13" t="str">
        <f>_xlfn.XLOOKUP(Orders[[#This Row],[Customer ID]],customers!$A$1:$A$1001,customers!$I$1:$I$1001,,0)</f>
        <v>Yes</v>
      </c>
    </row>
    <row r="845" spans="1:16" x14ac:dyDescent="0.3">
      <c r="A845" s="2" t="s">
        <v>5256</v>
      </c>
      <c r="B845" s="3">
        <v>44387</v>
      </c>
      <c r="C845" s="2" t="s">
        <v>5257</v>
      </c>
      <c r="D845" t="s">
        <v>6156</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s="13" t="str">
        <f>_xlfn.XLOOKUP(Orders[[#This Row],[Customer ID]],customers!$A$1:$A$1001,customers!$I$1:$I$1001,,0)</f>
        <v>Yes</v>
      </c>
    </row>
    <row r="846" spans="1:16" x14ac:dyDescent="0.3">
      <c r="A846" s="2" t="s">
        <v>5262</v>
      </c>
      <c r="B846" s="3">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s="13" t="str">
        <f>_xlfn.XLOOKUP(Orders[[#This Row],[Customer ID]],customers!$A$1:$A$1001,customers!$I$1:$I$1001,,0)</f>
        <v>Yes</v>
      </c>
    </row>
    <row r="847" spans="1:16" x14ac:dyDescent="0.3">
      <c r="A847" s="2" t="s">
        <v>5268</v>
      </c>
      <c r="B847" s="3">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s="13" t="str">
        <f>_xlfn.XLOOKUP(Orders[[#This Row],[Customer ID]],customers!$A$1:$A$1001,customers!$I$1:$I$1001,,0)</f>
        <v>No</v>
      </c>
    </row>
    <row r="848" spans="1:16" x14ac:dyDescent="0.3">
      <c r="A848" s="2" t="s">
        <v>5273</v>
      </c>
      <c r="B848" s="3">
        <v>44747</v>
      </c>
      <c r="C848" s="2" t="s">
        <v>5274</v>
      </c>
      <c r="D848" t="s">
        <v>6175</v>
      </c>
      <c r="E848" s="2">
        <v>2</v>
      </c>
      <c r="F848" s="2" t="str">
        <f>_xlfn.XLOOKUP(orders!C848,customers!$A$1:$A$1001,customers!$B$1:$B$1001,,0)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s="13" t="str">
        <f>_xlfn.XLOOKUP(Orders[[#This Row],[Customer ID]],customers!$A$1:$A$1001,customers!$I$1:$I$1001,,0)</f>
        <v>Yes</v>
      </c>
    </row>
    <row r="849" spans="1:16" x14ac:dyDescent="0.3">
      <c r="A849" s="2" t="s">
        <v>5278</v>
      </c>
      <c r="B849" s="3">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s="13" t="str">
        <f>_xlfn.XLOOKUP(Orders[[#This Row],[Customer ID]],customers!$A$1:$A$1001,customers!$I$1:$I$1001,,0)</f>
        <v>Yes</v>
      </c>
    </row>
    <row r="850" spans="1:16" x14ac:dyDescent="0.3">
      <c r="A850" s="2" t="s">
        <v>5283</v>
      </c>
      <c r="B850" s="3">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s="13" t="str">
        <f>_xlfn.XLOOKUP(Orders[[#This Row],[Customer ID]],customers!$A$1:$A$1001,customers!$I$1:$I$1001,,0)</f>
        <v>No</v>
      </c>
    </row>
    <row r="851" spans="1:16" x14ac:dyDescent="0.3">
      <c r="A851" s="2" t="s">
        <v>5288</v>
      </c>
      <c r="B851" s="3">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s="13" t="str">
        <f>_xlfn.XLOOKUP(Orders[[#This Row],[Customer ID]],customers!$A$1:$A$1001,customers!$I$1:$I$1001,,0)</f>
        <v>Yes</v>
      </c>
    </row>
    <row r="852" spans="1:16" x14ac:dyDescent="0.3">
      <c r="A852" s="2" t="s">
        <v>5288</v>
      </c>
      <c r="B852" s="3">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s="13" t="str">
        <f>_xlfn.XLOOKUP(Orders[[#This Row],[Customer ID]],customers!$A$1:$A$1001,customers!$I$1:$I$1001,,0)</f>
        <v>Yes</v>
      </c>
    </row>
    <row r="853" spans="1:16" x14ac:dyDescent="0.3">
      <c r="A853" s="2" t="s">
        <v>5299</v>
      </c>
      <c r="B853" s="3">
        <v>43900</v>
      </c>
      <c r="C853" s="2" t="s">
        <v>5300</v>
      </c>
      <c r="D853" t="s">
        <v>6169</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s="13" t="str">
        <f>_xlfn.XLOOKUP(Orders[[#This Row],[Customer ID]],customers!$A$1:$A$1001,customers!$I$1:$I$1001,,0)</f>
        <v>Yes</v>
      </c>
    </row>
    <row r="854" spans="1:16" x14ac:dyDescent="0.3">
      <c r="A854" s="2" t="s">
        <v>5305</v>
      </c>
      <c r="B854" s="3">
        <v>44527</v>
      </c>
      <c r="C854" s="2" t="s">
        <v>5306</v>
      </c>
      <c r="D854" t="s">
        <v>6165</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s="13" t="str">
        <f>_xlfn.XLOOKUP(Orders[[#This Row],[Customer ID]],customers!$A$1:$A$1001,customers!$I$1:$I$1001,,0)</f>
        <v>Yes</v>
      </c>
    </row>
    <row r="855" spans="1:16" x14ac:dyDescent="0.3">
      <c r="A855" s="2" t="s">
        <v>5310</v>
      </c>
      <c r="B855" s="3">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s="13" t="str">
        <f>_xlfn.XLOOKUP(Orders[[#This Row],[Customer ID]],customers!$A$1:$A$1001,customers!$I$1:$I$1001,,0)</f>
        <v>No</v>
      </c>
    </row>
    <row r="856" spans="1:16" x14ac:dyDescent="0.3">
      <c r="A856" s="2" t="s">
        <v>5315</v>
      </c>
      <c r="B856" s="3">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s="13" t="str">
        <f>_xlfn.XLOOKUP(Orders[[#This Row],[Customer ID]],customers!$A$1:$A$1001,customers!$I$1:$I$1001,,0)</f>
        <v>Yes</v>
      </c>
    </row>
    <row r="857" spans="1:16" x14ac:dyDescent="0.3">
      <c r="A857" s="2" t="s">
        <v>5321</v>
      </c>
      <c r="B857" s="3">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s="13" t="str">
        <f>_xlfn.XLOOKUP(Orders[[#This Row],[Customer ID]],customers!$A$1:$A$1001,customers!$I$1:$I$1001,,0)</f>
        <v>No</v>
      </c>
    </row>
    <row r="858" spans="1:16" x14ac:dyDescent="0.3">
      <c r="A858" s="2" t="s">
        <v>5327</v>
      </c>
      <c r="B858" s="3">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s="13" t="str">
        <f>_xlfn.XLOOKUP(Orders[[#This Row],[Customer ID]],customers!$A$1:$A$1001,customers!$I$1:$I$1001,,0)</f>
        <v>Yes</v>
      </c>
    </row>
    <row r="859" spans="1:16" x14ac:dyDescent="0.3">
      <c r="A859" s="2" t="s">
        <v>5333</v>
      </c>
      <c r="B859" s="3">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s="13" t="str">
        <f>_xlfn.XLOOKUP(Orders[[#This Row],[Customer ID]],customers!$A$1:$A$1001,customers!$I$1:$I$1001,,0)</f>
        <v>No</v>
      </c>
    </row>
    <row r="860" spans="1:16" x14ac:dyDescent="0.3">
      <c r="A860" s="2" t="s">
        <v>5339</v>
      </c>
      <c r="B860" s="3">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s="13" t="str">
        <f>_xlfn.XLOOKUP(Orders[[#This Row],[Customer ID]],customers!$A$1:$A$1001,customers!$I$1:$I$1001,,0)</f>
        <v>No</v>
      </c>
    </row>
    <row r="861" spans="1:16" x14ac:dyDescent="0.3">
      <c r="A861" s="2" t="s">
        <v>5345</v>
      </c>
      <c r="B861" s="3">
        <v>43716</v>
      </c>
      <c r="C861" s="2" t="s">
        <v>5346</v>
      </c>
      <c r="D861" t="s">
        <v>6182</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s="13" t="str">
        <f>_xlfn.XLOOKUP(Orders[[#This Row],[Customer ID]],customers!$A$1:$A$1001,customers!$I$1:$I$1001,,0)</f>
        <v>No</v>
      </c>
    </row>
    <row r="862" spans="1:16" x14ac:dyDescent="0.3">
      <c r="A862" s="2" t="s">
        <v>5351</v>
      </c>
      <c r="B862" s="3">
        <v>44707</v>
      </c>
      <c r="C862" s="2" t="s">
        <v>5352</v>
      </c>
      <c r="D862" t="s">
        <v>6175</v>
      </c>
      <c r="E862" s="2">
        <v>1</v>
      </c>
      <c r="F862" s="2" t="str">
        <f>_xlfn.XLOOKUP(orders!C862,customers!$A$1:$A$1001,customers!$B$1:$B$1001,,0)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s="13" t="str">
        <f>_xlfn.XLOOKUP(Orders[[#This Row],[Customer ID]],customers!$A$1:$A$1001,customers!$I$1:$I$1001,,0)</f>
        <v>No</v>
      </c>
    </row>
    <row r="863" spans="1:16" x14ac:dyDescent="0.3">
      <c r="A863" s="2" t="s">
        <v>5356</v>
      </c>
      <c r="B863" s="3">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s="13" t="str">
        <f>_xlfn.XLOOKUP(Orders[[#This Row],[Customer ID]],customers!$A$1:$A$1001,customers!$I$1:$I$1001,,0)</f>
        <v>Yes</v>
      </c>
    </row>
    <row r="864" spans="1:16" x14ac:dyDescent="0.3">
      <c r="A864" s="2" t="s">
        <v>5362</v>
      </c>
      <c r="B864" s="3">
        <v>43725</v>
      </c>
      <c r="C864" s="2" t="s">
        <v>5363</v>
      </c>
      <c r="D864" t="s">
        <v>6138</v>
      </c>
      <c r="E864" s="2">
        <v>1</v>
      </c>
      <c r="F864" s="2" t="str">
        <f>_xlfn.XLOOKUP(orders!C864,customers!$A$1:$A$1001,customers!$B$1:$B$1001,,0)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s="13" t="str">
        <f>_xlfn.XLOOKUP(Orders[[#This Row],[Customer ID]],customers!$A$1:$A$1001,customers!$I$1:$I$1001,,0)</f>
        <v>Yes</v>
      </c>
    </row>
    <row r="865" spans="1:16" x14ac:dyDescent="0.3">
      <c r="A865" s="2" t="s">
        <v>5368</v>
      </c>
      <c r="B865" s="3">
        <v>44712</v>
      </c>
      <c r="C865" s="2" t="s">
        <v>5369</v>
      </c>
      <c r="D865" t="s">
        <v>6162</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s="13" t="str">
        <f>_xlfn.XLOOKUP(Orders[[#This Row],[Customer ID]],customers!$A$1:$A$1001,customers!$I$1:$I$1001,,0)</f>
        <v>Yes</v>
      </c>
    </row>
    <row r="866" spans="1:16" x14ac:dyDescent="0.3">
      <c r="A866" s="2" t="s">
        <v>5374</v>
      </c>
      <c r="B866" s="3">
        <v>43759</v>
      </c>
      <c r="C866" s="2" t="s">
        <v>5375</v>
      </c>
      <c r="D866" t="s">
        <v>6178</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s="13" t="str">
        <f>_xlfn.XLOOKUP(Orders[[#This Row],[Customer ID]],customers!$A$1:$A$1001,customers!$I$1:$I$1001,,0)</f>
        <v>No</v>
      </c>
    </row>
    <row r="867" spans="1:16" x14ac:dyDescent="0.3">
      <c r="A867" s="2" t="s">
        <v>5380</v>
      </c>
      <c r="B867" s="3">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s="13" t="str">
        <f>_xlfn.XLOOKUP(Orders[[#This Row],[Customer ID]],customers!$A$1:$A$1001,customers!$I$1:$I$1001,,0)</f>
        <v>Yes</v>
      </c>
    </row>
    <row r="868" spans="1:16" x14ac:dyDescent="0.3">
      <c r="A868" s="2" t="s">
        <v>5385</v>
      </c>
      <c r="B868" s="3">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s="13" t="str">
        <f>_xlfn.XLOOKUP(Orders[[#This Row],[Customer ID]],customers!$A$1:$A$1001,customers!$I$1:$I$1001,,0)</f>
        <v>No</v>
      </c>
    </row>
    <row r="869" spans="1:16" x14ac:dyDescent="0.3">
      <c r="A869" s="2" t="s">
        <v>5391</v>
      </c>
      <c r="B869" s="3">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s="13" t="str">
        <f>_xlfn.XLOOKUP(Orders[[#This Row],[Customer ID]],customers!$A$1:$A$1001,customers!$I$1:$I$1001,,0)</f>
        <v>Yes</v>
      </c>
    </row>
    <row r="870" spans="1:16" x14ac:dyDescent="0.3">
      <c r="A870" s="2" t="s">
        <v>5396</v>
      </c>
      <c r="B870" s="3">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s="13" t="str">
        <f>_xlfn.XLOOKUP(Orders[[#This Row],[Customer ID]],customers!$A$1:$A$1001,customers!$I$1:$I$1001,,0)</f>
        <v>Yes</v>
      </c>
    </row>
    <row r="871" spans="1:16" x14ac:dyDescent="0.3">
      <c r="A871" s="2" t="s">
        <v>5402</v>
      </c>
      <c r="B871" s="3">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s="13" t="str">
        <f>_xlfn.XLOOKUP(Orders[[#This Row],[Customer ID]],customers!$A$1:$A$1001,customers!$I$1:$I$1001,,0)</f>
        <v>Yes</v>
      </c>
    </row>
    <row r="872" spans="1:16" x14ac:dyDescent="0.3">
      <c r="A872" s="2" t="s">
        <v>5407</v>
      </c>
      <c r="B872" s="3">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s="13" t="str">
        <f>_xlfn.XLOOKUP(Orders[[#This Row],[Customer ID]],customers!$A$1:$A$1001,customers!$I$1:$I$1001,,0)</f>
        <v>Yes</v>
      </c>
    </row>
    <row r="873" spans="1:16" x14ac:dyDescent="0.3">
      <c r="A873" s="2" t="s">
        <v>5413</v>
      </c>
      <c r="B873" s="3">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s="13" t="str">
        <f>_xlfn.XLOOKUP(Orders[[#This Row],[Customer ID]],customers!$A$1:$A$1001,customers!$I$1:$I$1001,,0)</f>
        <v>Yes</v>
      </c>
    </row>
    <row r="874" spans="1:16" x14ac:dyDescent="0.3">
      <c r="A874" s="2" t="s">
        <v>5421</v>
      </c>
      <c r="B874" s="3">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s="13" t="str">
        <f>_xlfn.XLOOKUP(Orders[[#This Row],[Customer ID]],customers!$A$1:$A$1001,customers!$I$1:$I$1001,,0)</f>
        <v>No</v>
      </c>
    </row>
    <row r="875" spans="1:16" x14ac:dyDescent="0.3">
      <c r="A875" s="2" t="s">
        <v>5427</v>
      </c>
      <c r="B875" s="3">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s="13" t="str">
        <f>_xlfn.XLOOKUP(Orders[[#This Row],[Customer ID]],customers!$A$1:$A$1001,customers!$I$1:$I$1001,,0)</f>
        <v>Yes</v>
      </c>
    </row>
    <row r="876" spans="1:16" x14ac:dyDescent="0.3">
      <c r="A876" s="2" t="s">
        <v>5433</v>
      </c>
      <c r="B876" s="3">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s="13" t="str">
        <f>_xlfn.XLOOKUP(Orders[[#This Row],[Customer ID]],customers!$A$1:$A$1001,customers!$I$1:$I$1001,,0)</f>
        <v>No</v>
      </c>
    </row>
    <row r="877" spans="1:16" x14ac:dyDescent="0.3">
      <c r="A877" s="2" t="s">
        <v>5439</v>
      </c>
      <c r="B877" s="3">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s="13" t="str">
        <f>_xlfn.XLOOKUP(Orders[[#This Row],[Customer ID]],customers!$A$1:$A$1001,customers!$I$1:$I$1001,,0)</f>
        <v>No</v>
      </c>
    </row>
    <row r="878" spans="1:16" x14ac:dyDescent="0.3">
      <c r="A878" s="2" t="s">
        <v>5439</v>
      </c>
      <c r="B878" s="3">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s="13" t="str">
        <f>_xlfn.XLOOKUP(Orders[[#This Row],[Customer ID]],customers!$A$1:$A$1001,customers!$I$1:$I$1001,,0)</f>
        <v>No</v>
      </c>
    </row>
    <row r="879" spans="1:16" x14ac:dyDescent="0.3">
      <c r="A879" s="2" t="s">
        <v>5450</v>
      </c>
      <c r="B879" s="3">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s="13" t="str">
        <f>_xlfn.XLOOKUP(Orders[[#This Row],[Customer ID]],customers!$A$1:$A$1001,customers!$I$1:$I$1001,,0)</f>
        <v>No</v>
      </c>
    </row>
    <row r="880" spans="1:16" x14ac:dyDescent="0.3">
      <c r="A880" s="2" t="s">
        <v>5456</v>
      </c>
      <c r="B880" s="3">
        <v>44323</v>
      </c>
      <c r="C880" s="2" t="s">
        <v>5457</v>
      </c>
      <c r="D880" t="s">
        <v>6142</v>
      </c>
      <c r="E880" s="2">
        <v>1</v>
      </c>
      <c r="F880" s="2" t="str">
        <f>_xlfn.XLOOKUP(orders!C880,customers!$A$1:$A$1001,customers!$B$1:$B$1001,,0)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s="13" t="str">
        <f>_xlfn.XLOOKUP(Orders[[#This Row],[Customer ID]],customers!$A$1:$A$1001,customers!$I$1:$I$1001,,0)</f>
        <v>Yes</v>
      </c>
    </row>
    <row r="881" spans="1:16" x14ac:dyDescent="0.3">
      <c r="A881" s="2" t="s">
        <v>5461</v>
      </c>
      <c r="B881" s="3">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s="13" t="str">
        <f>_xlfn.XLOOKUP(Orders[[#This Row],[Customer ID]],customers!$A$1:$A$1001,customers!$I$1:$I$1001,,0)</f>
        <v>No</v>
      </c>
    </row>
    <row r="882" spans="1:16" x14ac:dyDescent="0.3">
      <c r="A882" s="2" t="s">
        <v>5466</v>
      </c>
      <c r="B882" s="3">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s="13" t="str">
        <f>_xlfn.XLOOKUP(Orders[[#This Row],[Customer ID]],customers!$A$1:$A$1001,customers!$I$1:$I$1001,,0)</f>
        <v>No</v>
      </c>
    </row>
    <row r="883" spans="1:16" x14ac:dyDescent="0.3">
      <c r="A883" s="2" t="s">
        <v>5472</v>
      </c>
      <c r="B883" s="3">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s="13" t="str">
        <f>_xlfn.XLOOKUP(Orders[[#This Row],[Customer ID]],customers!$A$1:$A$1001,customers!$I$1:$I$1001,,0)</f>
        <v>Yes</v>
      </c>
    </row>
    <row r="884" spans="1:16" x14ac:dyDescent="0.3">
      <c r="A884" s="2" t="s">
        <v>5477</v>
      </c>
      <c r="B884" s="3">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s="13" t="str">
        <f>_xlfn.XLOOKUP(Orders[[#This Row],[Customer ID]],customers!$A$1:$A$1001,customers!$I$1:$I$1001,,0)</f>
        <v>Yes</v>
      </c>
    </row>
    <row r="885" spans="1:16" x14ac:dyDescent="0.3">
      <c r="A885" s="2" t="s">
        <v>5483</v>
      </c>
      <c r="B885" s="3">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s="13" t="str">
        <f>_xlfn.XLOOKUP(Orders[[#This Row],[Customer ID]],customers!$A$1:$A$1001,customers!$I$1:$I$1001,,0)</f>
        <v>Yes</v>
      </c>
    </row>
    <row r="886" spans="1:16" x14ac:dyDescent="0.3">
      <c r="A886" s="2" t="s">
        <v>5489</v>
      </c>
      <c r="B886" s="3">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s="13" t="str">
        <f>_xlfn.XLOOKUP(Orders[[#This Row],[Customer ID]],customers!$A$1:$A$1001,customers!$I$1:$I$1001,,0)</f>
        <v>Yes</v>
      </c>
    </row>
    <row r="887" spans="1:16" x14ac:dyDescent="0.3">
      <c r="A887" s="2" t="s">
        <v>5495</v>
      </c>
      <c r="B887" s="3">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s="13" t="str">
        <f>_xlfn.XLOOKUP(Orders[[#This Row],[Customer ID]],customers!$A$1:$A$1001,customers!$I$1:$I$1001,,0)</f>
        <v>No</v>
      </c>
    </row>
    <row r="888" spans="1:16" x14ac:dyDescent="0.3">
      <c r="A888" s="2" t="s">
        <v>5501</v>
      </c>
      <c r="B888" s="3">
        <v>44518</v>
      </c>
      <c r="C888" s="2" t="s">
        <v>5502</v>
      </c>
      <c r="D888" t="s">
        <v>6160</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s="13" t="str">
        <f>_xlfn.XLOOKUP(Orders[[#This Row],[Customer ID]],customers!$A$1:$A$1001,customers!$I$1:$I$1001,,0)</f>
        <v>No</v>
      </c>
    </row>
    <row r="889" spans="1:16" x14ac:dyDescent="0.3">
      <c r="A889" s="2" t="s">
        <v>5507</v>
      </c>
      <c r="B889" s="3">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s="13" t="str">
        <f>_xlfn.XLOOKUP(Orders[[#This Row],[Customer ID]],customers!$A$1:$A$1001,customers!$I$1:$I$1001,,0)</f>
        <v>No</v>
      </c>
    </row>
    <row r="890" spans="1:16" x14ac:dyDescent="0.3">
      <c r="A890" s="2" t="s">
        <v>5513</v>
      </c>
      <c r="B890" s="3">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s="13" t="str">
        <f>_xlfn.XLOOKUP(Orders[[#This Row],[Customer ID]],customers!$A$1:$A$1001,customers!$I$1:$I$1001,,0)</f>
        <v>Yes</v>
      </c>
    </row>
    <row r="891" spans="1:16" x14ac:dyDescent="0.3">
      <c r="A891" s="2" t="s">
        <v>5519</v>
      </c>
      <c r="B891" s="3">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s="13" t="str">
        <f>_xlfn.XLOOKUP(Orders[[#This Row],[Customer ID]],customers!$A$1:$A$1001,customers!$I$1:$I$1001,,0)</f>
        <v>Yes</v>
      </c>
    </row>
    <row r="892" spans="1:16" x14ac:dyDescent="0.3">
      <c r="A892" s="2" t="s">
        <v>5525</v>
      </c>
      <c r="B892" s="3">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s="13" t="str">
        <f>_xlfn.XLOOKUP(Orders[[#This Row],[Customer ID]],customers!$A$1:$A$1001,customers!$I$1:$I$1001,,0)</f>
        <v>Yes</v>
      </c>
    </row>
    <row r="893" spans="1:16" x14ac:dyDescent="0.3">
      <c r="A893" s="2" t="s">
        <v>5531</v>
      </c>
      <c r="B893" s="3">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s="13" t="str">
        <f>_xlfn.XLOOKUP(Orders[[#This Row],[Customer ID]],customers!$A$1:$A$1001,customers!$I$1:$I$1001,,0)</f>
        <v>Yes</v>
      </c>
    </row>
    <row r="894" spans="1:16" x14ac:dyDescent="0.3">
      <c r="A894" s="2" t="s">
        <v>5537</v>
      </c>
      <c r="B894" s="3">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s="13" t="str">
        <f>_xlfn.XLOOKUP(Orders[[#This Row],[Customer ID]],customers!$A$1:$A$1001,customers!$I$1:$I$1001,,0)</f>
        <v>No</v>
      </c>
    </row>
    <row r="895" spans="1:16" x14ac:dyDescent="0.3">
      <c r="A895" s="2" t="s">
        <v>5543</v>
      </c>
      <c r="B895" s="3">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s="13" t="str">
        <f>_xlfn.XLOOKUP(Orders[[#This Row],[Customer ID]],customers!$A$1:$A$1001,customers!$I$1:$I$1001,,0)</f>
        <v>Yes</v>
      </c>
    </row>
    <row r="896" spans="1:16" x14ac:dyDescent="0.3">
      <c r="A896" s="2" t="s">
        <v>5548</v>
      </c>
      <c r="B896" s="3">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s="13" t="str">
        <f>_xlfn.XLOOKUP(Orders[[#This Row],[Customer ID]],customers!$A$1:$A$1001,customers!$I$1:$I$1001,,0)</f>
        <v>Yes</v>
      </c>
    </row>
    <row r="897" spans="1:16" x14ac:dyDescent="0.3">
      <c r="A897" s="2" t="s">
        <v>5553</v>
      </c>
      <c r="B897" s="3">
        <v>44521</v>
      </c>
      <c r="C897" s="2" t="s">
        <v>5554</v>
      </c>
      <c r="D897" t="s">
        <v>6166</v>
      </c>
      <c r="E897" s="2">
        <v>5</v>
      </c>
      <c r="F897" s="2" t="str">
        <f>_xlfn.XLOOKUP(orders!C897,customers!$A$1:$A$1001,customers!$B$1:$B$1001,,0)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s="13" t="str">
        <f>_xlfn.XLOOKUP(Orders[[#This Row],[Customer ID]],customers!$A$1:$A$1001,customers!$I$1:$I$1001,,0)</f>
        <v>No</v>
      </c>
    </row>
    <row r="898" spans="1:16" x14ac:dyDescent="0.3">
      <c r="A898" s="2" t="s">
        <v>5558</v>
      </c>
      <c r="B898" s="3">
        <v>44347</v>
      </c>
      <c r="C898" s="2" t="s">
        <v>5559</v>
      </c>
      <c r="D898" t="s">
        <v>6172</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s="13" t="str">
        <f>_xlfn.XLOOKUP(Orders[[#This Row],[Customer ID]],customers!$A$1:$A$1001,customers!$I$1:$I$1001,,0)</f>
        <v>Yes</v>
      </c>
    </row>
    <row r="899" spans="1:16" x14ac:dyDescent="0.3">
      <c r="A899" s="2" t="s">
        <v>5564</v>
      </c>
      <c r="B899" s="3">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s="13" t="str">
        <f>_xlfn.XLOOKUP(Orders[[#This Row],[Customer ID]],customers!$A$1:$A$1001,customers!$I$1:$I$1001,,0)</f>
        <v>No</v>
      </c>
    </row>
    <row r="900" spans="1:16" x14ac:dyDescent="0.3">
      <c r="A900" s="2" t="s">
        <v>5570</v>
      </c>
      <c r="B900" s="3">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s="13" t="str">
        <f>_xlfn.XLOOKUP(Orders[[#This Row],[Customer ID]],customers!$A$1:$A$1001,customers!$I$1:$I$1001,,0)</f>
        <v>No</v>
      </c>
    </row>
    <row r="901" spans="1:16" x14ac:dyDescent="0.3">
      <c r="A901" s="2" t="s">
        <v>5575</v>
      </c>
      <c r="B901" s="3">
        <v>44523</v>
      </c>
      <c r="C901" s="2" t="s">
        <v>5554</v>
      </c>
      <c r="D901" t="s">
        <v>6162</v>
      </c>
      <c r="E901" s="2">
        <v>5</v>
      </c>
      <c r="F901" s="2" t="str">
        <f>_xlfn.XLOOKUP(orders!C901,customers!$A$1:$A$1001,customers!$B$1:$B$1001,,0)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s="13" t="str">
        <f>_xlfn.XLOOKUP(Orders[[#This Row],[Customer ID]],customers!$A$1:$A$1001,customers!$I$1:$I$1001,,0)</f>
        <v>No</v>
      </c>
    </row>
    <row r="902" spans="1:16" x14ac:dyDescent="0.3">
      <c r="A902" s="2" t="s">
        <v>5580</v>
      </c>
      <c r="B902" s="3">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s="13" t="str">
        <f>_xlfn.XLOOKUP(Orders[[#This Row],[Customer ID]],customers!$A$1:$A$1001,customers!$I$1:$I$1001,,0)</f>
        <v>No</v>
      </c>
    </row>
    <row r="903" spans="1:16" x14ac:dyDescent="0.3">
      <c r="A903" s="2" t="s">
        <v>5585</v>
      </c>
      <c r="B903" s="3">
        <v>44223</v>
      </c>
      <c r="C903" s="2" t="s">
        <v>5586</v>
      </c>
      <c r="D903" t="s">
        <v>6178</v>
      </c>
      <c r="E903" s="2">
        <v>1</v>
      </c>
      <c r="F903" s="2" t="str">
        <f>_xlfn.XLOOKUP(orders!C903,customers!$A$1:$A$1001,customers!$B$1:$B$1001,,0)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s="13" t="str">
        <f>_xlfn.XLOOKUP(Orders[[#This Row],[Customer ID]],customers!$A$1:$A$1001,customers!$I$1:$I$1001,,0)</f>
        <v>Yes</v>
      </c>
    </row>
    <row r="904" spans="1:16" x14ac:dyDescent="0.3">
      <c r="A904" s="2" t="s">
        <v>5591</v>
      </c>
      <c r="B904" s="3">
        <v>43640</v>
      </c>
      <c r="C904" s="2" t="s">
        <v>5592</v>
      </c>
      <c r="D904" t="s">
        <v>6166</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s="13" t="str">
        <f>_xlfn.XLOOKUP(Orders[[#This Row],[Customer ID]],customers!$A$1:$A$1001,customers!$I$1:$I$1001,,0)</f>
        <v>No</v>
      </c>
    </row>
    <row r="905" spans="1:16" x14ac:dyDescent="0.3">
      <c r="A905" s="2" t="s">
        <v>5597</v>
      </c>
      <c r="B905" s="3">
        <v>43905</v>
      </c>
      <c r="C905" s="2" t="s">
        <v>5598</v>
      </c>
      <c r="D905" t="s">
        <v>6160</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s="13" t="str">
        <f>_xlfn.XLOOKUP(Orders[[#This Row],[Customer ID]],customers!$A$1:$A$1001,customers!$I$1:$I$1001,,0)</f>
        <v>No</v>
      </c>
    </row>
    <row r="906" spans="1:16" x14ac:dyDescent="0.3">
      <c r="A906" s="2" t="s">
        <v>5603</v>
      </c>
      <c r="B906" s="3">
        <v>44463</v>
      </c>
      <c r="C906" s="2" t="s">
        <v>5604</v>
      </c>
      <c r="D906" t="s">
        <v>6182</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s="13" t="str">
        <f>_xlfn.XLOOKUP(Orders[[#This Row],[Customer ID]],customers!$A$1:$A$1001,customers!$I$1:$I$1001,,0)</f>
        <v>No</v>
      </c>
    </row>
    <row r="907" spans="1:16" x14ac:dyDescent="0.3">
      <c r="A907" s="2" t="s">
        <v>5609</v>
      </c>
      <c r="B907" s="3">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s="13" t="str">
        <f>_xlfn.XLOOKUP(Orders[[#This Row],[Customer ID]],customers!$A$1:$A$1001,customers!$I$1:$I$1001,,0)</f>
        <v>Yes</v>
      </c>
    </row>
    <row r="908" spans="1:16" x14ac:dyDescent="0.3">
      <c r="A908" s="2" t="s">
        <v>5614</v>
      </c>
      <c r="B908" s="3">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s="13" t="str">
        <f>_xlfn.XLOOKUP(Orders[[#This Row],[Customer ID]],customers!$A$1:$A$1001,customers!$I$1:$I$1001,,0)</f>
        <v>Yes</v>
      </c>
    </row>
    <row r="909" spans="1:16" x14ac:dyDescent="0.3">
      <c r="A909" s="2" t="s">
        <v>5620</v>
      </c>
      <c r="B909" s="3">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s="13" t="str">
        <f>_xlfn.XLOOKUP(Orders[[#This Row],[Customer ID]],customers!$A$1:$A$1001,customers!$I$1:$I$1001,,0)</f>
        <v>No</v>
      </c>
    </row>
    <row r="910" spans="1:16" x14ac:dyDescent="0.3">
      <c r="A910" s="2" t="s">
        <v>5626</v>
      </c>
      <c r="B910" s="3">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s="13" t="str">
        <f>_xlfn.XLOOKUP(Orders[[#This Row],[Customer ID]],customers!$A$1:$A$1001,customers!$I$1:$I$1001,,0)</f>
        <v>No</v>
      </c>
    </row>
    <row r="911" spans="1:16" x14ac:dyDescent="0.3">
      <c r="A911" s="2" t="s">
        <v>5632</v>
      </c>
      <c r="B911" s="3">
        <v>44635</v>
      </c>
      <c r="C911" s="2" t="s">
        <v>5633</v>
      </c>
      <c r="D911" t="s">
        <v>6178</v>
      </c>
      <c r="E911" s="2">
        <v>3</v>
      </c>
      <c r="F911" s="2" t="str">
        <f>_xlfn.XLOOKUP(orders!C911,customers!$A$1:$A$1001,customers!$B$1:$B$1001,,0)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s="13" t="str">
        <f>_xlfn.XLOOKUP(Orders[[#This Row],[Customer ID]],customers!$A$1:$A$1001,customers!$I$1:$I$1001,,0)</f>
        <v>No</v>
      </c>
    </row>
    <row r="912" spans="1:16" x14ac:dyDescent="0.3">
      <c r="A912" s="2" t="s">
        <v>5637</v>
      </c>
      <c r="B912" s="3">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s="13" t="str">
        <f>_xlfn.XLOOKUP(Orders[[#This Row],[Customer ID]],customers!$A$1:$A$1001,customers!$I$1:$I$1001,,0)</f>
        <v>No</v>
      </c>
    </row>
    <row r="913" spans="1:16" x14ac:dyDescent="0.3">
      <c r="A913" s="2" t="s">
        <v>5643</v>
      </c>
      <c r="B913" s="3">
        <v>44511</v>
      </c>
      <c r="C913" s="2" t="s">
        <v>5644</v>
      </c>
      <c r="D913" t="s">
        <v>6155</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s="13" t="str">
        <f>_xlfn.XLOOKUP(Orders[[#This Row],[Customer ID]],customers!$A$1:$A$1001,customers!$I$1:$I$1001,,0)</f>
        <v>Yes</v>
      </c>
    </row>
    <row r="914" spans="1:16" x14ac:dyDescent="0.3">
      <c r="A914" s="2" t="s">
        <v>5649</v>
      </c>
      <c r="B914" s="3">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s="13" t="str">
        <f>_xlfn.XLOOKUP(Orders[[#This Row],[Customer ID]],customers!$A$1:$A$1001,customers!$I$1:$I$1001,,0)</f>
        <v>Yes</v>
      </c>
    </row>
    <row r="915" spans="1:16" x14ac:dyDescent="0.3">
      <c r="A915" s="2" t="s">
        <v>5654</v>
      </c>
      <c r="B915" s="3">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s="13" t="str">
        <f>_xlfn.XLOOKUP(Orders[[#This Row],[Customer ID]],customers!$A$1:$A$1001,customers!$I$1:$I$1001,,0)</f>
        <v>No</v>
      </c>
    </row>
    <row r="916" spans="1:16" x14ac:dyDescent="0.3">
      <c r="A916" s="2" t="s">
        <v>5660</v>
      </c>
      <c r="B916" s="3">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s="13" t="str">
        <f>_xlfn.XLOOKUP(Orders[[#This Row],[Customer ID]],customers!$A$1:$A$1001,customers!$I$1:$I$1001,,0)</f>
        <v>No</v>
      </c>
    </row>
    <row r="917" spans="1:16" x14ac:dyDescent="0.3">
      <c r="A917" s="2" t="s">
        <v>5666</v>
      </c>
      <c r="B917" s="3">
        <v>43955</v>
      </c>
      <c r="C917" s="2" t="s">
        <v>5667</v>
      </c>
      <c r="D917" t="s">
        <v>6185</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s="13" t="str">
        <f>_xlfn.XLOOKUP(Orders[[#This Row],[Customer ID]],customers!$A$1:$A$1001,customers!$I$1:$I$1001,,0)</f>
        <v>Yes</v>
      </c>
    </row>
    <row r="918" spans="1:16" x14ac:dyDescent="0.3">
      <c r="A918" s="2" t="s">
        <v>5672</v>
      </c>
      <c r="B918" s="3">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s="13" t="str">
        <f>_xlfn.XLOOKUP(Orders[[#This Row],[Customer ID]],customers!$A$1:$A$1001,customers!$I$1:$I$1001,,0)</f>
        <v>Yes</v>
      </c>
    </row>
    <row r="919" spans="1:16" x14ac:dyDescent="0.3">
      <c r="A919" s="2" t="s">
        <v>5676</v>
      </c>
      <c r="B919" s="3">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s="13" t="str">
        <f>_xlfn.XLOOKUP(Orders[[#This Row],[Customer ID]],customers!$A$1:$A$1001,customers!$I$1:$I$1001,,0)</f>
        <v>No</v>
      </c>
    </row>
    <row r="920" spans="1:16" x14ac:dyDescent="0.3">
      <c r="A920" s="2" t="s">
        <v>5676</v>
      </c>
      <c r="B920" s="3">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s="13" t="str">
        <f>_xlfn.XLOOKUP(Orders[[#This Row],[Customer ID]],customers!$A$1:$A$1001,customers!$I$1:$I$1001,,0)</f>
        <v>No</v>
      </c>
    </row>
    <row r="921" spans="1:16" x14ac:dyDescent="0.3">
      <c r="A921" s="2" t="s">
        <v>5687</v>
      </c>
      <c r="B921" s="3">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s="13" t="str">
        <f>_xlfn.XLOOKUP(Orders[[#This Row],[Customer ID]],customers!$A$1:$A$1001,customers!$I$1:$I$1001,,0)</f>
        <v>Yes</v>
      </c>
    </row>
    <row r="922" spans="1:16" x14ac:dyDescent="0.3">
      <c r="A922" s="2" t="s">
        <v>5693</v>
      </c>
      <c r="B922" s="3">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s="13" t="str">
        <f>_xlfn.XLOOKUP(Orders[[#This Row],[Customer ID]],customers!$A$1:$A$1001,customers!$I$1:$I$1001,,0)</f>
        <v>No</v>
      </c>
    </row>
    <row r="923" spans="1:16" x14ac:dyDescent="0.3">
      <c r="A923" s="2" t="s">
        <v>5699</v>
      </c>
      <c r="B923" s="3">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s="13" t="str">
        <f>_xlfn.XLOOKUP(Orders[[#This Row],[Customer ID]],customers!$A$1:$A$1001,customers!$I$1:$I$1001,,0)</f>
        <v>No</v>
      </c>
    </row>
    <row r="924" spans="1:16" x14ac:dyDescent="0.3">
      <c r="A924" s="2" t="s">
        <v>5705</v>
      </c>
      <c r="B924" s="3">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s="13" t="str">
        <f>_xlfn.XLOOKUP(Orders[[#This Row],[Customer ID]],customers!$A$1:$A$1001,customers!$I$1:$I$1001,,0)</f>
        <v>Yes</v>
      </c>
    </row>
    <row r="925" spans="1:16" x14ac:dyDescent="0.3">
      <c r="A925" s="2" t="s">
        <v>5709</v>
      </c>
      <c r="B925" s="3">
        <v>43746</v>
      </c>
      <c r="C925" s="2" t="s">
        <v>5710</v>
      </c>
      <c r="D925" t="s">
        <v>6185</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s="13" t="str">
        <f>_xlfn.XLOOKUP(Orders[[#This Row],[Customer ID]],customers!$A$1:$A$1001,customers!$I$1:$I$1001,,0)</f>
        <v>No</v>
      </c>
    </row>
    <row r="926" spans="1:16" x14ac:dyDescent="0.3">
      <c r="A926" s="2" t="s">
        <v>5715</v>
      </c>
      <c r="B926" s="3">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s="13" t="str">
        <f>_xlfn.XLOOKUP(Orders[[#This Row],[Customer ID]],customers!$A$1:$A$1001,customers!$I$1:$I$1001,,0)</f>
        <v>No</v>
      </c>
    </row>
    <row r="927" spans="1:16" x14ac:dyDescent="0.3">
      <c r="A927" s="2" t="s">
        <v>5720</v>
      </c>
      <c r="B927" s="3">
        <v>44770</v>
      </c>
      <c r="C927" s="2" t="s">
        <v>5554</v>
      </c>
      <c r="D927" t="s">
        <v>6157</v>
      </c>
      <c r="E927" s="2">
        <v>3</v>
      </c>
      <c r="F927" s="2" t="str">
        <f>_xlfn.XLOOKUP(orders!C927,customers!$A$1:$A$1001,customers!$B$1:$B$1001,,0)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s="13" t="str">
        <f>_xlfn.XLOOKUP(Orders[[#This Row],[Customer ID]],customers!$A$1:$A$1001,customers!$I$1:$I$1001,,0)</f>
        <v>No</v>
      </c>
    </row>
    <row r="928" spans="1:16" x14ac:dyDescent="0.3">
      <c r="A928" s="2" t="s">
        <v>5725</v>
      </c>
      <c r="B928" s="3">
        <v>44012</v>
      </c>
      <c r="C928" s="2" t="s">
        <v>5726</v>
      </c>
      <c r="D928" t="s">
        <v>6157</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s="13" t="str">
        <f>_xlfn.XLOOKUP(Orders[[#This Row],[Customer ID]],customers!$A$1:$A$1001,customers!$I$1:$I$1001,,0)</f>
        <v>Yes</v>
      </c>
    </row>
    <row r="929" spans="1:16" x14ac:dyDescent="0.3">
      <c r="A929" s="2" t="s">
        <v>5731</v>
      </c>
      <c r="B929" s="3">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s="13" t="str">
        <f>_xlfn.XLOOKUP(Orders[[#This Row],[Customer ID]],customers!$A$1:$A$1001,customers!$I$1:$I$1001,,0)</f>
        <v>No</v>
      </c>
    </row>
    <row r="930" spans="1:16" x14ac:dyDescent="0.3">
      <c r="A930" s="2" t="s">
        <v>5737</v>
      </c>
      <c r="B930" s="3">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s="13" t="str">
        <f>_xlfn.XLOOKUP(Orders[[#This Row],[Customer ID]],customers!$A$1:$A$1001,customers!$I$1:$I$1001,,0)</f>
        <v>Yes</v>
      </c>
    </row>
    <row r="931" spans="1:16" x14ac:dyDescent="0.3">
      <c r="A931" s="2" t="s">
        <v>5742</v>
      </c>
      <c r="B931" s="3">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s="13" t="str">
        <f>_xlfn.XLOOKUP(Orders[[#This Row],[Customer ID]],customers!$A$1:$A$1001,customers!$I$1:$I$1001,,0)</f>
        <v>Yes</v>
      </c>
    </row>
    <row r="932" spans="1:16" x14ac:dyDescent="0.3">
      <c r="A932" s="2" t="s">
        <v>5748</v>
      </c>
      <c r="B932" s="3">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s="13" t="str">
        <f>_xlfn.XLOOKUP(Orders[[#This Row],[Customer ID]],customers!$A$1:$A$1001,customers!$I$1:$I$1001,,0)</f>
        <v>Yes</v>
      </c>
    </row>
    <row r="933" spans="1:16" x14ac:dyDescent="0.3">
      <c r="A933" s="2" t="s">
        <v>5753</v>
      </c>
      <c r="B933" s="3">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s="13" t="str">
        <f>_xlfn.XLOOKUP(Orders[[#This Row],[Customer ID]],customers!$A$1:$A$1001,customers!$I$1:$I$1001,,0)</f>
        <v>Yes</v>
      </c>
    </row>
    <row r="934" spans="1:16" x14ac:dyDescent="0.3">
      <c r="A934" s="2" t="s">
        <v>5757</v>
      </c>
      <c r="B934" s="3">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s="13" t="str">
        <f>_xlfn.XLOOKUP(Orders[[#This Row],[Customer ID]],customers!$A$1:$A$1001,customers!$I$1:$I$1001,,0)</f>
        <v>No</v>
      </c>
    </row>
    <row r="935" spans="1:16" x14ac:dyDescent="0.3">
      <c r="A935" s="2" t="s">
        <v>5763</v>
      </c>
      <c r="B935" s="3">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s="13" t="str">
        <f>_xlfn.XLOOKUP(Orders[[#This Row],[Customer ID]],customers!$A$1:$A$1001,customers!$I$1:$I$1001,,0)</f>
        <v>Yes</v>
      </c>
    </row>
    <row r="936" spans="1:16" x14ac:dyDescent="0.3">
      <c r="A936" s="2" t="s">
        <v>5768</v>
      </c>
      <c r="B936" s="3">
        <v>44409</v>
      </c>
      <c r="C936" s="2" t="s">
        <v>5769</v>
      </c>
      <c r="D936" t="s">
        <v>6151</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s="13" t="str">
        <f>_xlfn.XLOOKUP(Orders[[#This Row],[Customer ID]],customers!$A$1:$A$1001,customers!$I$1:$I$1001,,0)</f>
        <v>No</v>
      </c>
    </row>
    <row r="937" spans="1:16" x14ac:dyDescent="0.3">
      <c r="A937" s="2" t="s">
        <v>5774</v>
      </c>
      <c r="B937" s="3">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s="13" t="str">
        <f>_xlfn.XLOOKUP(Orders[[#This Row],[Customer ID]],customers!$A$1:$A$1001,customers!$I$1:$I$1001,,0)</f>
        <v>Yes</v>
      </c>
    </row>
    <row r="938" spans="1:16" x14ac:dyDescent="0.3">
      <c r="A938" s="2" t="s">
        <v>5780</v>
      </c>
      <c r="B938" s="3">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s="13" t="str">
        <f>_xlfn.XLOOKUP(Orders[[#This Row],[Customer ID]],customers!$A$1:$A$1001,customers!$I$1:$I$1001,,0)</f>
        <v>Yes</v>
      </c>
    </row>
    <row r="939" spans="1:16" x14ac:dyDescent="0.3">
      <c r="A939" s="2" t="s">
        <v>5780</v>
      </c>
      <c r="B939" s="3">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s="13" t="str">
        <f>_xlfn.XLOOKUP(Orders[[#This Row],[Customer ID]],customers!$A$1:$A$1001,customers!$I$1:$I$1001,,0)</f>
        <v>Yes</v>
      </c>
    </row>
    <row r="940" spans="1:16" x14ac:dyDescent="0.3">
      <c r="A940" s="2" t="s">
        <v>5791</v>
      </c>
      <c r="B940" s="3">
        <v>43829</v>
      </c>
      <c r="C940" s="2" t="s">
        <v>5792</v>
      </c>
      <c r="D940" t="s">
        <v>6171</v>
      </c>
      <c r="E940" s="2">
        <v>5</v>
      </c>
      <c r="F940" s="2" t="str">
        <f>_xlfn.XLOOKUP(orders!C940,customers!$A$1:$A$1001,customers!$B$1:$B$1001,,0)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s="13" t="str">
        <f>_xlfn.XLOOKUP(Orders[[#This Row],[Customer ID]],customers!$A$1:$A$1001,customers!$I$1:$I$1001,,0)</f>
        <v>Yes</v>
      </c>
    </row>
    <row r="941" spans="1:16" x14ac:dyDescent="0.3">
      <c r="A941" s="2" t="s">
        <v>5797</v>
      </c>
      <c r="B941" s="3">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s="13" t="str">
        <f>_xlfn.XLOOKUP(Orders[[#This Row],[Customer ID]],customers!$A$1:$A$1001,customers!$I$1:$I$1001,,0)</f>
        <v>No</v>
      </c>
    </row>
    <row r="942" spans="1:16" x14ac:dyDescent="0.3">
      <c r="A942" s="2" t="s">
        <v>5803</v>
      </c>
      <c r="B942" s="3">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s="13" t="str">
        <f>_xlfn.XLOOKUP(Orders[[#This Row],[Customer ID]],customers!$A$1:$A$1001,customers!$I$1:$I$1001,,0)</f>
        <v>Yes</v>
      </c>
    </row>
    <row r="943" spans="1:16" x14ac:dyDescent="0.3">
      <c r="A943" s="2" t="s">
        <v>5809</v>
      </c>
      <c r="B943" s="3">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s="13" t="str">
        <f>_xlfn.XLOOKUP(Orders[[#This Row],[Customer ID]],customers!$A$1:$A$1001,customers!$I$1:$I$1001,,0)</f>
        <v>Yes</v>
      </c>
    </row>
    <row r="944" spans="1:16" x14ac:dyDescent="0.3">
      <c r="A944" s="2" t="s">
        <v>5816</v>
      </c>
      <c r="B944" s="3">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s="13" t="str">
        <f>_xlfn.XLOOKUP(Orders[[#This Row],[Customer ID]],customers!$A$1:$A$1001,customers!$I$1:$I$1001,,0)</f>
        <v>No</v>
      </c>
    </row>
    <row r="945" spans="1:16" x14ac:dyDescent="0.3">
      <c r="A945" s="2" t="s">
        <v>5822</v>
      </c>
      <c r="B945" s="3">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s="13" t="str">
        <f>_xlfn.XLOOKUP(Orders[[#This Row],[Customer ID]],customers!$A$1:$A$1001,customers!$I$1:$I$1001,,0)</f>
        <v>No</v>
      </c>
    </row>
    <row r="946" spans="1:16" x14ac:dyDescent="0.3">
      <c r="A946" s="2" t="s">
        <v>5828</v>
      </c>
      <c r="B946" s="3">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s="13" t="str">
        <f>_xlfn.XLOOKUP(Orders[[#This Row],[Customer ID]],customers!$A$1:$A$1001,customers!$I$1:$I$1001,,0)</f>
        <v>No</v>
      </c>
    </row>
    <row r="947" spans="1:16" x14ac:dyDescent="0.3">
      <c r="A947" s="2" t="s">
        <v>5834</v>
      </c>
      <c r="B947" s="3">
        <v>43524</v>
      </c>
      <c r="C947" s="2" t="s">
        <v>5835</v>
      </c>
      <c r="D947" t="s">
        <v>6165</v>
      </c>
      <c r="E947" s="2">
        <v>4</v>
      </c>
      <c r="F947" s="2" t="str">
        <f>_xlfn.XLOOKUP(orders!C947,customers!$A$1:$A$1001,customers!$B$1:$B$1001,,0)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s="13" t="str">
        <f>_xlfn.XLOOKUP(Orders[[#This Row],[Customer ID]],customers!$A$1:$A$1001,customers!$I$1:$I$1001,,0)</f>
        <v>No</v>
      </c>
    </row>
    <row r="948" spans="1:16" x14ac:dyDescent="0.3">
      <c r="A948" s="2" t="s">
        <v>5839</v>
      </c>
      <c r="B948" s="3">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s="13" t="str">
        <f>_xlfn.XLOOKUP(Orders[[#This Row],[Customer ID]],customers!$A$1:$A$1001,customers!$I$1:$I$1001,,0)</f>
        <v>No</v>
      </c>
    </row>
    <row r="949" spans="1:16" x14ac:dyDescent="0.3">
      <c r="A949" s="2" t="s">
        <v>5844</v>
      </c>
      <c r="B949" s="3">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s="13" t="str">
        <f>_xlfn.XLOOKUP(Orders[[#This Row],[Customer ID]],customers!$A$1:$A$1001,customers!$I$1:$I$1001,,0)</f>
        <v>No</v>
      </c>
    </row>
    <row r="950" spans="1:16" x14ac:dyDescent="0.3">
      <c r="A950" s="2" t="s">
        <v>5849</v>
      </c>
      <c r="B950" s="3">
        <v>44445</v>
      </c>
      <c r="C950" s="2" t="s">
        <v>5850</v>
      </c>
      <c r="D950" t="s">
        <v>6185</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s="13" t="str">
        <f>_xlfn.XLOOKUP(Orders[[#This Row],[Customer ID]],customers!$A$1:$A$1001,customers!$I$1:$I$1001,,0)</f>
        <v>Yes</v>
      </c>
    </row>
    <row r="951" spans="1:16" x14ac:dyDescent="0.3">
      <c r="A951" s="2" t="s">
        <v>5855</v>
      </c>
      <c r="B951" s="3">
        <v>44449</v>
      </c>
      <c r="C951" s="2" t="s">
        <v>5856</v>
      </c>
      <c r="D951" t="s">
        <v>6142</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s="13" t="str">
        <f>_xlfn.XLOOKUP(Orders[[#This Row],[Customer ID]],customers!$A$1:$A$1001,customers!$I$1:$I$1001,,0)</f>
        <v>No</v>
      </c>
    </row>
    <row r="952" spans="1:16" x14ac:dyDescent="0.3">
      <c r="A952" s="2" t="s">
        <v>5861</v>
      </c>
      <c r="B952" s="3">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s="13" t="str">
        <f>_xlfn.XLOOKUP(Orders[[#This Row],[Customer ID]],customers!$A$1:$A$1001,customers!$I$1:$I$1001,,0)</f>
        <v>Yes</v>
      </c>
    </row>
    <row r="953" spans="1:16" x14ac:dyDescent="0.3">
      <c r="A953" s="2" t="s">
        <v>5866</v>
      </c>
      <c r="B953" s="3">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s="13" t="str">
        <f>_xlfn.XLOOKUP(Orders[[#This Row],[Customer ID]],customers!$A$1:$A$1001,customers!$I$1:$I$1001,,0)</f>
        <v>No</v>
      </c>
    </row>
    <row r="954" spans="1:16" x14ac:dyDescent="0.3">
      <c r="A954" s="2" t="s">
        <v>5872</v>
      </c>
      <c r="B954" s="3">
        <v>44439</v>
      </c>
      <c r="C954" s="2" t="s">
        <v>5873</v>
      </c>
      <c r="D954" t="s">
        <v>6155</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s="13" t="str">
        <f>_xlfn.XLOOKUP(Orders[[#This Row],[Customer ID]],customers!$A$1:$A$1001,customers!$I$1:$I$1001,,0)</f>
        <v>Yes</v>
      </c>
    </row>
    <row r="955" spans="1:16" x14ac:dyDescent="0.3">
      <c r="A955" s="2" t="s">
        <v>5878</v>
      </c>
      <c r="B955" s="3">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s="13" t="str">
        <f>_xlfn.XLOOKUP(Orders[[#This Row],[Customer ID]],customers!$A$1:$A$1001,customers!$I$1:$I$1001,,0)</f>
        <v>Yes</v>
      </c>
    </row>
    <row r="956" spans="1:16" x14ac:dyDescent="0.3">
      <c r="A956" s="2" t="s">
        <v>5884</v>
      </c>
      <c r="B956" s="3">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s="13" t="str">
        <f>_xlfn.XLOOKUP(Orders[[#This Row],[Customer ID]],customers!$A$1:$A$1001,customers!$I$1:$I$1001,,0)</f>
        <v>Yes</v>
      </c>
    </row>
    <row r="957" spans="1:16" x14ac:dyDescent="0.3">
      <c r="A957" s="2" t="s">
        <v>5890</v>
      </c>
      <c r="B957" s="3">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s="13" t="str">
        <f>_xlfn.XLOOKUP(Orders[[#This Row],[Customer ID]],customers!$A$1:$A$1001,customers!$I$1:$I$1001,,0)</f>
        <v>Yes</v>
      </c>
    </row>
    <row r="958" spans="1:16" x14ac:dyDescent="0.3">
      <c r="A958" s="2" t="s">
        <v>5890</v>
      </c>
      <c r="B958" s="3">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s="13" t="str">
        <f>_xlfn.XLOOKUP(Orders[[#This Row],[Customer ID]],customers!$A$1:$A$1001,customers!$I$1:$I$1001,,0)</f>
        <v>Yes</v>
      </c>
    </row>
    <row r="959" spans="1:16" x14ac:dyDescent="0.3">
      <c r="A959" s="2" t="s">
        <v>5890</v>
      </c>
      <c r="B959" s="3">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s="13" t="str">
        <f>_xlfn.XLOOKUP(Orders[[#This Row],[Customer ID]],customers!$A$1:$A$1001,customers!$I$1:$I$1001,,0)</f>
        <v>Yes</v>
      </c>
    </row>
    <row r="960" spans="1:16" x14ac:dyDescent="0.3">
      <c r="A960" s="2" t="s">
        <v>5890</v>
      </c>
      <c r="B960" s="3">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s="13" t="str">
        <f>_xlfn.XLOOKUP(Orders[[#This Row],[Customer ID]],customers!$A$1:$A$1001,customers!$I$1:$I$1001,,0)</f>
        <v>Yes</v>
      </c>
    </row>
    <row r="961" spans="1:16" x14ac:dyDescent="0.3">
      <c r="A961" s="2" t="s">
        <v>5910</v>
      </c>
      <c r="B961" s="3">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s="13" t="str">
        <f>_xlfn.XLOOKUP(Orders[[#This Row],[Customer ID]],customers!$A$1:$A$1001,customers!$I$1:$I$1001,,0)</f>
        <v>Yes</v>
      </c>
    </row>
    <row r="962" spans="1:16" x14ac:dyDescent="0.3">
      <c r="A962" s="2" t="s">
        <v>5915</v>
      </c>
      <c r="B962" s="3">
        <v>44591</v>
      </c>
      <c r="C962" s="2" t="s">
        <v>5916</v>
      </c>
      <c r="D962" t="s">
        <v>6170</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s="13" t="str">
        <f>_xlfn.XLOOKUP(Orders[[#This Row],[Customer ID]],customers!$A$1:$A$1001,customers!$I$1:$I$1001,,0)</f>
        <v>Yes</v>
      </c>
    </row>
    <row r="963" spans="1:16" x14ac:dyDescent="0.3">
      <c r="A963" s="2" t="s">
        <v>5921</v>
      </c>
      <c r="B963" s="3">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s="13" t="str">
        <f>_xlfn.XLOOKUP(Orders[[#This Row],[Customer ID]],customers!$A$1:$A$1001,customers!$I$1:$I$1001,,0)</f>
        <v>Yes</v>
      </c>
    </row>
    <row r="964" spans="1:16" x14ac:dyDescent="0.3">
      <c r="A964" s="2" t="s">
        <v>5926</v>
      </c>
      <c r="B964" s="3">
        <v>44664</v>
      </c>
      <c r="C964" s="2" t="s">
        <v>5927</v>
      </c>
      <c r="D964" t="s">
        <v>6177</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s="13" t="str">
        <f>_xlfn.XLOOKUP(Orders[[#This Row],[Customer ID]],customers!$A$1:$A$1001,customers!$I$1:$I$1001,,0)</f>
        <v>Yes</v>
      </c>
    </row>
    <row r="965" spans="1:16" x14ac:dyDescent="0.3">
      <c r="A965" s="2" t="s">
        <v>5932</v>
      </c>
      <c r="B965" s="3">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s="13" t="str">
        <f>_xlfn.XLOOKUP(Orders[[#This Row],[Customer ID]],customers!$A$1:$A$1001,customers!$I$1:$I$1001,,0)</f>
        <v>Yes</v>
      </c>
    </row>
    <row r="966" spans="1:16" x14ac:dyDescent="0.3">
      <c r="A966" s="2" t="s">
        <v>5938</v>
      </c>
      <c r="B966" s="3">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s="13" t="str">
        <f>_xlfn.XLOOKUP(Orders[[#This Row],[Customer ID]],customers!$A$1:$A$1001,customers!$I$1:$I$1001,,0)</f>
        <v>No</v>
      </c>
    </row>
    <row r="967" spans="1:16" x14ac:dyDescent="0.3">
      <c r="A967" s="2" t="s">
        <v>5944</v>
      </c>
      <c r="B967" s="3">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s="13" t="str">
        <f>_xlfn.XLOOKUP(Orders[[#This Row],[Customer ID]],customers!$A$1:$A$1001,customers!$I$1:$I$1001,,0)</f>
        <v>Yes</v>
      </c>
    </row>
    <row r="968" spans="1:16" x14ac:dyDescent="0.3">
      <c r="A968" s="2" t="s">
        <v>5949</v>
      </c>
      <c r="B968" s="3">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s="13" t="str">
        <f>_xlfn.XLOOKUP(Orders[[#This Row],[Customer ID]],customers!$A$1:$A$1001,customers!$I$1:$I$1001,,0)</f>
        <v>Yes</v>
      </c>
    </row>
    <row r="969" spans="1:16" x14ac:dyDescent="0.3">
      <c r="A969" s="2" t="s">
        <v>5955</v>
      </c>
      <c r="B969" s="3">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s="13" t="str">
        <f>_xlfn.XLOOKUP(Orders[[#This Row],[Customer ID]],customers!$A$1:$A$1001,customers!$I$1:$I$1001,,0)</f>
        <v>Yes</v>
      </c>
    </row>
    <row r="970" spans="1:16" x14ac:dyDescent="0.3">
      <c r="A970" s="2" t="s">
        <v>5961</v>
      </c>
      <c r="B970" s="3">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s="13" t="str">
        <f>_xlfn.XLOOKUP(Orders[[#This Row],[Customer ID]],customers!$A$1:$A$1001,customers!$I$1:$I$1001,,0)</f>
        <v>No</v>
      </c>
    </row>
    <row r="971" spans="1:16" x14ac:dyDescent="0.3">
      <c r="A971" s="2" t="s">
        <v>5967</v>
      </c>
      <c r="B971" s="3">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s="13" t="str">
        <f>_xlfn.XLOOKUP(Orders[[#This Row],[Customer ID]],customers!$A$1:$A$1001,customers!$I$1:$I$1001,,0)</f>
        <v>Yes</v>
      </c>
    </row>
    <row r="972" spans="1:16" x14ac:dyDescent="0.3">
      <c r="A972" s="2" t="s">
        <v>5973</v>
      </c>
      <c r="B972" s="3">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s="13" t="str">
        <f>_xlfn.XLOOKUP(Orders[[#This Row],[Customer ID]],customers!$A$1:$A$1001,customers!$I$1:$I$1001,,0)</f>
        <v>No</v>
      </c>
    </row>
    <row r="973" spans="1:16" x14ac:dyDescent="0.3">
      <c r="A973" s="2" t="s">
        <v>5978</v>
      </c>
      <c r="B973" s="3">
        <v>43703</v>
      </c>
      <c r="C973" s="2" t="s">
        <v>5979</v>
      </c>
      <c r="D973" t="s">
        <v>6182</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s="13" t="str">
        <f>_xlfn.XLOOKUP(Orders[[#This Row],[Customer ID]],customers!$A$1:$A$1001,customers!$I$1:$I$1001,,0)</f>
        <v>No</v>
      </c>
    </row>
    <row r="974" spans="1:16" x14ac:dyDescent="0.3">
      <c r="A974" s="2" t="s">
        <v>5984</v>
      </c>
      <c r="B974" s="3">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s="13" t="str">
        <f>_xlfn.XLOOKUP(Orders[[#This Row],[Customer ID]],customers!$A$1:$A$1001,customers!$I$1:$I$1001,,0)</f>
        <v>Yes</v>
      </c>
    </row>
    <row r="975" spans="1:16" x14ac:dyDescent="0.3">
      <c r="A975" s="2" t="s">
        <v>5989</v>
      </c>
      <c r="B975" s="3">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s="13" t="str">
        <f>_xlfn.XLOOKUP(Orders[[#This Row],[Customer ID]],customers!$A$1:$A$1001,customers!$I$1:$I$1001,,0)</f>
        <v>No</v>
      </c>
    </row>
    <row r="976" spans="1:16" x14ac:dyDescent="0.3">
      <c r="A976" s="2" t="s">
        <v>5995</v>
      </c>
      <c r="B976" s="3">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s="13" t="str">
        <f>_xlfn.XLOOKUP(Orders[[#This Row],[Customer ID]],customers!$A$1:$A$1001,customers!$I$1:$I$1001,,0)</f>
        <v>Yes</v>
      </c>
    </row>
    <row r="977" spans="1:16" x14ac:dyDescent="0.3">
      <c r="A977" s="2" t="s">
        <v>6001</v>
      </c>
      <c r="B977" s="3">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s="13" t="str">
        <f>_xlfn.XLOOKUP(Orders[[#This Row],[Customer ID]],customers!$A$1:$A$1001,customers!$I$1:$I$1001,,0)</f>
        <v>Yes</v>
      </c>
    </row>
    <row r="978" spans="1:16" x14ac:dyDescent="0.3">
      <c r="A978" s="2" t="s">
        <v>6007</v>
      </c>
      <c r="B978" s="3">
        <v>43643</v>
      </c>
      <c r="C978" s="2" t="s">
        <v>6008</v>
      </c>
      <c r="D978" t="s">
        <v>6142</v>
      </c>
      <c r="E978" s="2">
        <v>5</v>
      </c>
      <c r="F978" s="2" t="str">
        <f>_xlfn.XLOOKUP(orders!C978,customers!$A$1:$A$1001,customers!$B$1:$B$1001,,0)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s="13" t="str">
        <f>_xlfn.XLOOKUP(Orders[[#This Row],[Customer ID]],customers!$A$1:$A$1001,customers!$I$1:$I$1001,,0)</f>
        <v>Yes</v>
      </c>
    </row>
    <row r="979" spans="1:16" x14ac:dyDescent="0.3">
      <c r="A979" s="2" t="s">
        <v>6013</v>
      </c>
      <c r="B979" s="3">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s="13" t="str">
        <f>_xlfn.XLOOKUP(Orders[[#This Row],[Customer ID]],customers!$A$1:$A$1001,customers!$I$1:$I$1001,,0)</f>
        <v>No</v>
      </c>
    </row>
    <row r="980" spans="1:16" x14ac:dyDescent="0.3">
      <c r="A980" s="2" t="s">
        <v>6019</v>
      </c>
      <c r="B980" s="3">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s="13" t="str">
        <f>_xlfn.XLOOKUP(Orders[[#This Row],[Customer ID]],customers!$A$1:$A$1001,customers!$I$1:$I$1001,,0)</f>
        <v>No</v>
      </c>
    </row>
    <row r="981" spans="1:16" x14ac:dyDescent="0.3">
      <c r="A981" s="2" t="s">
        <v>6025</v>
      </c>
      <c r="B981" s="3">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s="13" t="str">
        <f>_xlfn.XLOOKUP(Orders[[#This Row],[Customer ID]],customers!$A$1:$A$1001,customers!$I$1:$I$1001,,0)</f>
        <v>No</v>
      </c>
    </row>
    <row r="982" spans="1:16" x14ac:dyDescent="0.3">
      <c r="A982" s="2" t="s">
        <v>6030</v>
      </c>
      <c r="B982" s="3">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s="13" t="str">
        <f>_xlfn.XLOOKUP(Orders[[#This Row],[Customer ID]],customers!$A$1:$A$1001,customers!$I$1:$I$1001,,0)</f>
        <v>Yes</v>
      </c>
    </row>
    <row r="983" spans="1:16" x14ac:dyDescent="0.3">
      <c r="A983" s="2" t="s">
        <v>6035</v>
      </c>
      <c r="B983" s="3">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s="13" t="str">
        <f>_xlfn.XLOOKUP(Orders[[#This Row],[Customer ID]],customers!$A$1:$A$1001,customers!$I$1:$I$1001,,0)</f>
        <v>Yes</v>
      </c>
    </row>
    <row r="984" spans="1:16" x14ac:dyDescent="0.3">
      <c r="A984" s="2" t="s">
        <v>6041</v>
      </c>
      <c r="B984" s="3">
        <v>44785</v>
      </c>
      <c r="C984" s="2" t="s">
        <v>6042</v>
      </c>
      <c r="D984" t="s">
        <v>6179</v>
      </c>
      <c r="E984" s="2">
        <v>2</v>
      </c>
      <c r="F984" s="2" t="str">
        <f>_xlfn.XLOOKUP(orders!C984,customers!$A$1:$A$1001,customers!$B$1:$B$1001,,0)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s="13" t="str">
        <f>_xlfn.XLOOKUP(Orders[[#This Row],[Customer ID]],customers!$A$1:$A$1001,customers!$I$1:$I$1001,,0)</f>
        <v>Yes</v>
      </c>
    </row>
    <row r="985" spans="1:16" x14ac:dyDescent="0.3">
      <c r="A985" s="2" t="s">
        <v>6047</v>
      </c>
      <c r="B985" s="3">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s="13" t="str">
        <f>_xlfn.XLOOKUP(Orders[[#This Row],[Customer ID]],customers!$A$1:$A$1001,customers!$I$1:$I$1001,,0)</f>
        <v>Yes</v>
      </c>
    </row>
    <row r="986" spans="1:16" x14ac:dyDescent="0.3">
      <c r="A986" s="2" t="s">
        <v>6053</v>
      </c>
      <c r="B986" s="3">
        <v>44214</v>
      </c>
      <c r="C986" s="2" t="s">
        <v>6054</v>
      </c>
      <c r="D986" t="s">
        <v>6166</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s="13" t="str">
        <f>_xlfn.XLOOKUP(Orders[[#This Row],[Customer ID]],customers!$A$1:$A$1001,customers!$I$1:$I$1001,,0)</f>
        <v>Yes</v>
      </c>
    </row>
    <row r="987" spans="1:16" x14ac:dyDescent="0.3">
      <c r="A987" s="2" t="s">
        <v>6058</v>
      </c>
      <c r="B987" s="3">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s="13" t="str">
        <f>_xlfn.XLOOKUP(Orders[[#This Row],[Customer ID]],customers!$A$1:$A$1001,customers!$I$1:$I$1001,,0)</f>
        <v>No</v>
      </c>
    </row>
    <row r="988" spans="1:16" x14ac:dyDescent="0.3">
      <c r="A988" s="2" t="s">
        <v>6064</v>
      </c>
      <c r="B988" s="3">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s="13" t="str">
        <f>_xlfn.XLOOKUP(Orders[[#This Row],[Customer ID]],customers!$A$1:$A$1001,customers!$I$1:$I$1001,,0)</f>
        <v>No</v>
      </c>
    </row>
    <row r="989" spans="1:16" x14ac:dyDescent="0.3">
      <c r="A989" s="2" t="s">
        <v>6070</v>
      </c>
      <c r="B989" s="3">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s="13" t="str">
        <f>_xlfn.XLOOKUP(Orders[[#This Row],[Customer ID]],customers!$A$1:$A$1001,customers!$I$1:$I$1001,,0)</f>
        <v>Yes</v>
      </c>
    </row>
    <row r="990" spans="1:16" x14ac:dyDescent="0.3">
      <c r="A990" s="2" t="s">
        <v>6076</v>
      </c>
      <c r="B990" s="3">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s="13" t="str">
        <f>_xlfn.XLOOKUP(Orders[[#This Row],[Customer ID]],customers!$A$1:$A$1001,customers!$I$1:$I$1001,,0)</f>
        <v>Yes</v>
      </c>
    </row>
    <row r="991" spans="1:16" x14ac:dyDescent="0.3">
      <c r="A991" s="2" t="s">
        <v>6081</v>
      </c>
      <c r="B991" s="3">
        <v>43560</v>
      </c>
      <c r="C991" s="2" t="s">
        <v>6082</v>
      </c>
      <c r="D991" t="s">
        <v>6175</v>
      </c>
      <c r="E991" s="2">
        <v>6</v>
      </c>
      <c r="F991" s="2" t="str">
        <f>_xlfn.XLOOKUP(orders!C991,customers!$A$1:$A$1001,customers!$B$1:$B$1001,,0)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s="13" t="str">
        <f>_xlfn.XLOOKUP(Orders[[#This Row],[Customer ID]],customers!$A$1:$A$1001,customers!$I$1:$I$1001,,0)</f>
        <v>Yes</v>
      </c>
    </row>
    <row r="992" spans="1:16" x14ac:dyDescent="0.3">
      <c r="A992" s="2" t="s">
        <v>6086</v>
      </c>
      <c r="B992" s="3">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s="13" t="str">
        <f>_xlfn.XLOOKUP(Orders[[#This Row],[Customer ID]],customers!$A$1:$A$1001,customers!$I$1:$I$1001,,0)</f>
        <v>No</v>
      </c>
    </row>
    <row r="993" spans="1:16" x14ac:dyDescent="0.3">
      <c r="A993" s="2" t="s">
        <v>6086</v>
      </c>
      <c r="B993" s="3">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s="13" t="str">
        <f>_xlfn.XLOOKUP(Orders[[#This Row],[Customer ID]],customers!$A$1:$A$1001,customers!$I$1:$I$1001,,0)</f>
        <v>No</v>
      </c>
    </row>
    <row r="994" spans="1:16" x14ac:dyDescent="0.3">
      <c r="A994" s="2" t="s">
        <v>6096</v>
      </c>
      <c r="B994" s="3">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s="13" t="str">
        <f>_xlfn.XLOOKUP(Orders[[#This Row],[Customer ID]],customers!$A$1:$A$1001,customers!$I$1:$I$1001,,0)</f>
        <v>No</v>
      </c>
    </row>
    <row r="995" spans="1:16" x14ac:dyDescent="0.3">
      <c r="A995" s="2" t="s">
        <v>6101</v>
      </c>
      <c r="B995" s="3">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s="13" t="str">
        <f>_xlfn.XLOOKUP(Orders[[#This Row],[Customer ID]],customers!$A$1:$A$1001,customers!$I$1:$I$1001,,0)</f>
        <v>No</v>
      </c>
    </row>
    <row r="996" spans="1:16" x14ac:dyDescent="0.3">
      <c r="A996" s="2" t="s">
        <v>6106</v>
      </c>
      <c r="B996" s="3">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s="13" t="str">
        <f>_xlfn.XLOOKUP(Orders[[#This Row],[Customer ID]],customers!$A$1:$A$1001,customers!$I$1:$I$1001,,0)</f>
        <v>No</v>
      </c>
    </row>
    <row r="997" spans="1:16" x14ac:dyDescent="0.3">
      <c r="A997" s="2" t="s">
        <v>6111</v>
      </c>
      <c r="B997" s="3">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s="13" t="str">
        <f>_xlfn.XLOOKUP(Orders[[#This Row],[Customer ID]],customers!$A$1:$A$1001,customers!$I$1:$I$1001,,0)</f>
        <v>No</v>
      </c>
    </row>
    <row r="998" spans="1:16" x14ac:dyDescent="0.3">
      <c r="A998" s="2" t="s">
        <v>6117</v>
      </c>
      <c r="B998" s="3">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s="13" t="str">
        <f>_xlfn.XLOOKUP(Orders[[#This Row],[Customer ID]],customers!$A$1:$A$1001,customers!$I$1:$I$1001,,0)</f>
        <v>No</v>
      </c>
    </row>
    <row r="999" spans="1:16" x14ac:dyDescent="0.3">
      <c r="A999" s="2" t="s">
        <v>6122</v>
      </c>
      <c r="B999" s="3">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s="13" t="str">
        <f>_xlfn.XLOOKUP(Orders[[#This Row],[Customer ID]],customers!$A$1:$A$1001,customers!$I$1:$I$1001,,0)</f>
        <v>No</v>
      </c>
    </row>
    <row r="1000" spans="1:16" x14ac:dyDescent="0.3">
      <c r="A1000" s="2" t="s">
        <v>6127</v>
      </c>
      <c r="B1000" s="3">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s="13" t="str">
        <f>_xlfn.XLOOKUP(Orders[[#This Row],[Customer ID]],customers!$A$1:$A$1001,customers!$I$1:$I$1001,,0)</f>
        <v>No</v>
      </c>
    </row>
    <row r="1001" spans="1:16" x14ac:dyDescent="0.3">
      <c r="A1001" s="2" t="s">
        <v>6133</v>
      </c>
      <c r="B1001" s="3">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s="13"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76"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5"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Mithilesh Ubale</cp:lastModifiedBy>
  <cp:revision/>
  <dcterms:created xsi:type="dcterms:W3CDTF">2022-11-26T09:51:45Z</dcterms:created>
  <dcterms:modified xsi:type="dcterms:W3CDTF">2026-06-24T08:24:15Z</dcterms:modified>
  <cp:category/>
  <cp:contentStatus/>
</cp:coreProperties>
</file>